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\Desktop\TP-IO-main\TP-IO-main\"/>
    </mc:Choice>
  </mc:AlternateContent>
  <xr:revisionPtr revIDLastSave="0" documentId="13_ncr:1_{FD906B51-4887-4E8C-9495-90A9AF500908}" xr6:coauthVersionLast="47" xr6:coauthVersionMax="47" xr10:uidLastSave="{00000000-0000-0000-0000-000000000000}"/>
  <bookViews>
    <workbookView xWindow="-120" yWindow="-120" windowWidth="24240" windowHeight="17640" tabRatio="500" firstSheet="1" activeTab="4" xr2:uid="{00000000-000D-0000-FFFF-FFFF00000000}"/>
  </bookViews>
  <sheets>
    <sheet name="SETS" sheetId="1" r:id="rId1"/>
    <sheet name="CAPACIDADES" sheetId="2" r:id="rId2"/>
    <sheet name="PRODUCTOS" sheetId="3" r:id="rId3"/>
    <sheet name="DESCREMA" sheetId="4" r:id="rId4"/>
    <sheet name="COSTOS" sheetId="5" r:id="rId5"/>
    <sheet name="DEMANDA" sheetId="6" r:id="rId6"/>
    <sheet name="PARAMETROS" sheetId="7" r:id="rId7"/>
  </sheets>
  <definedNames>
    <definedName name="CAPACIDAD_CREMA">CAPACIDADES!$D$2:$D$4</definedName>
    <definedName name="CAPACIDAD_LECHE_EN_POLVO">CAPACIDADES!$C$2:$C$4</definedName>
    <definedName name="CAPACIDAD_LECHE_FLUIDA">CAPACIDADES!$B$2:$B$4</definedName>
    <definedName name="CAPACIDAD_MANTECA">CAPACIDADES!$E$2:$E$4</definedName>
    <definedName name="CAPACIDAD_QUESO">CAPACIDADES!$F$2:$F$4</definedName>
    <definedName name="CENTROS">SETS!$B$2:$B$5</definedName>
    <definedName name="COSTO">COSTOS!$D$2:$D$97</definedName>
    <definedName name="COSTO_LD_SF">DESCREMA!$B$2:$B$3</definedName>
    <definedName name="DEM">DEMANDA!$C$2:$C$33</definedName>
    <definedName name="DESCREMA">SETS!$D$2:$D$3</definedName>
    <definedName name="FACTOR_CONVERSION">PRODUCTOS!$B$2:$B$9</definedName>
    <definedName name="LECHE_DISPONIBLE">PARAMETROS!$A$2</definedName>
    <definedName name="PLANTA">SETS!$A$2:$A$4</definedName>
    <definedName name="PRODUCTOS">SETS!$C$2:$C$9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" i="4" l="1"/>
  <c r="I2" i="4"/>
  <c r="H2" i="4" a="1"/>
  <c r="H2" i="4" s="1"/>
  <c r="F2" i="4"/>
  <c r="G2" i="7"/>
  <c r="A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B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<sst xmlns="http://schemas.openxmlformats.org/spreadsheetml/2006/main" count="440" uniqueCount="62">
  <si>
    <t>PLANTA</t>
  </si>
  <si>
    <t>CENTROS</t>
  </si>
  <si>
    <t>PRODUCTOS</t>
  </si>
  <si>
    <t>DESCREMA</t>
  </si>
  <si>
    <t>*P1=Buenos Aires, P2=Córdoba, P3=Santa Fe</t>
  </si>
  <si>
    <t>P1</t>
  </si>
  <si>
    <t>C1</t>
  </si>
  <si>
    <t>LFE</t>
  </si>
  <si>
    <t>*C1=Capital Federa, C2=Rosario, C3=Mendoza, C4=Tucumán</t>
  </si>
  <si>
    <t>P2</t>
  </si>
  <si>
    <t>C2</t>
  </si>
  <si>
    <t>LFD</t>
  </si>
  <si>
    <t>P3</t>
  </si>
  <si>
    <t>C3</t>
  </si>
  <si>
    <t>LPE</t>
  </si>
  <si>
    <t>C4</t>
  </si>
  <si>
    <t>LPD</t>
  </si>
  <si>
    <t>CREMA</t>
  </si>
  <si>
    <t>MANTECA</t>
  </si>
  <si>
    <t>QB</t>
  </si>
  <si>
    <t>QMB</t>
  </si>
  <si>
    <t>CAPACIDAD_LECHE_FLUIDA</t>
  </si>
  <si>
    <t>CAPACIDAD_LECHE_EN_POLVO</t>
  </si>
  <si>
    <t>CAPACIDAD_CREMA</t>
  </si>
  <si>
    <t>CAPACIDAD_MANTECA</t>
  </si>
  <si>
    <t>CAPACIDAD_QUESO</t>
  </si>
  <si>
    <t>PRODUCTO</t>
  </si>
  <si>
    <t>FACTOR_CONVERSION</t>
  </si>
  <si>
    <t>¿REFRIGERADO?</t>
  </si>
  <si>
    <t>COSTO_LD_SF</t>
  </si>
  <si>
    <t>COSTO</t>
  </si>
  <si>
    <t>GASTO [$/tn]</t>
  </si>
  <si>
    <t>FACTOR REFRIGERADO</t>
  </si>
  <si>
    <t>CONVERSION A KG</t>
  </si>
  <si>
    <t>CENTRO</t>
  </si>
  <si>
    <t>DEM</t>
  </si>
  <si>
    <t>constantes</t>
  </si>
  <si>
    <t>ABASTECIMIENTO NACIONAL</t>
  </si>
  <si>
    <t>DIVISION CAPITAL FEDERAL</t>
  </si>
  <si>
    <t>DIVISION ROSARIO</t>
  </si>
  <si>
    <t>DIVISION MENDOZA</t>
  </si>
  <si>
    <t>DIVISION TUCUMÁN</t>
  </si>
  <si>
    <t>producto</t>
  </si>
  <si>
    <t>demanda total país</t>
  </si>
  <si>
    <t>LECHE FLUIDA ENTERA</t>
  </si>
  <si>
    <t>LECHE FLUIDA DESCREMADA</t>
  </si>
  <si>
    <t>LECHE EN POLVO ENTERA</t>
  </si>
  <si>
    <t>LECHE EN POLVO DESCREMADA</t>
  </si>
  <si>
    <t>QUESO BLANDO</t>
  </si>
  <si>
    <t>QUESO MUY BLANDO</t>
  </si>
  <si>
    <t>LECHE_DISPONIBLE</t>
  </si>
  <si>
    <t>Compra por dia de la empresa</t>
  </si>
  <si>
    <t>Multiplicador foro</t>
  </si>
  <si>
    <t>Dias de octubre</t>
  </si>
  <si>
    <t>Disponibilidad</t>
  </si>
  <si>
    <t>Valor final</t>
  </si>
  <si>
    <t>BASE</t>
  </si>
  <si>
    <t>INDICE 2025</t>
  </si>
  <si>
    <t>INDICE ENERO - MARZO 2026</t>
  </si>
  <si>
    <t>INDICE ABRIL-OCTUBRE 2026</t>
  </si>
  <si>
    <t>ACUMULADO TOTAL</t>
  </si>
  <si>
    <t>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</si>
</sst>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000000"/>
  </numFmts>
  <fonts count="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Inherit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rgb="FF33CCCC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Border="0" applyProtection="0"/>
  </cellStyleXfs>
  <cellXfs count="45">
    <xf numFmtId="0" fontId="0" fillId="0" borderId="0" xfId="0"/>
    <xf numFmtId="0" fontId="0" fillId="0" borderId="0" xfId="0" applyAlignment="1" applyProtection="1"/>
    <xf numFmtId="0" fontId="0" fillId="0" borderId="1" xfId="0" applyFont="1" applyBorder="1" applyAlignment="1" applyProtection="1"/>
    <xf numFmtId="0" fontId="0" fillId="0" borderId="2" xfId="0" applyFont="1" applyBorder="1" applyAlignment="1" applyProtection="1"/>
    <xf numFmtId="0" fontId="0" fillId="0" borderId="3" xfId="0" applyFont="1" applyBorder="1" applyAlignment="1" applyProtection="1"/>
    <xf numFmtId="0" fontId="0" fillId="0" borderId="4" xfId="0" applyFont="1" applyBorder="1" applyAlignment="1" applyProtection="1"/>
    <xf numFmtId="0" fontId="0" fillId="0" borderId="5" xfId="0" applyFont="1" applyBorder="1" applyAlignment="1" applyProtection="1"/>
    <xf numFmtId="0" fontId="0" fillId="0" borderId="6" xfId="0" applyFont="1" applyBorder="1" applyAlignment="1" applyProtection="1"/>
    <xf numFmtId="0" fontId="0" fillId="0" borderId="7" xfId="0" applyFont="1" applyBorder="1" applyAlignment="1" applyProtection="1"/>
    <xf numFmtId="0" fontId="0" fillId="0" borderId="8" xfId="0" applyFont="1" applyBorder="1" applyAlignment="1" applyProtection="1"/>
    <xf numFmtId="0" fontId="0" fillId="0" borderId="9" xfId="0" applyFont="1" applyBorder="1" applyAlignment="1" applyProtection="1"/>
    <xf numFmtId="4" fontId="0" fillId="0" borderId="2" xfId="0" applyNumberFormat="1" applyBorder="1" applyAlignment="1" applyProtection="1"/>
    <xf numFmtId="4" fontId="0" fillId="0" borderId="3" xfId="0" applyNumberFormat="1" applyBorder="1" applyAlignment="1" applyProtection="1"/>
    <xf numFmtId="4" fontId="0" fillId="0" borderId="0" xfId="0" applyNumberFormat="1" applyAlignment="1" applyProtection="1"/>
    <xf numFmtId="0" fontId="0" fillId="0" borderId="10" xfId="0" applyFont="1" applyBorder="1" applyAlignment="1" applyProtection="1"/>
    <xf numFmtId="164" fontId="0" fillId="0" borderId="6" xfId="0" applyNumberFormat="1" applyBorder="1" applyAlignment="1" applyProtection="1"/>
    <xf numFmtId="164" fontId="0" fillId="0" borderId="8" xfId="0" applyNumberFormat="1" applyBorder="1" applyAlignment="1" applyProtection="1"/>
    <xf numFmtId="0" fontId="0" fillId="0" borderId="0" xfId="0" applyAlignment="1" applyProtection="1">
      <alignment horizontal="center"/>
    </xf>
    <xf numFmtId="0" fontId="0" fillId="0" borderId="10" xfId="0" applyFont="1" applyBorder="1" applyAlignment="1" applyProtection="1">
      <alignment horizontal="center"/>
    </xf>
    <xf numFmtId="165" fontId="0" fillId="0" borderId="0" xfId="0" applyNumberFormat="1" applyAlignment="1" applyProtection="1"/>
    <xf numFmtId="0" fontId="0" fillId="0" borderId="11" xfId="0" applyFont="1" applyBorder="1" applyAlignment="1" applyProtection="1"/>
    <xf numFmtId="166" fontId="0" fillId="0" borderId="12" xfId="0" applyNumberFormat="1" applyBorder="1" applyAlignment="1" applyProtection="1"/>
    <xf numFmtId="4" fontId="0" fillId="0" borderId="6" xfId="0" applyNumberFormat="1" applyBorder="1" applyAlignment="1" applyProtection="1"/>
    <xf numFmtId="2" fontId="0" fillId="0" borderId="6" xfId="0" applyNumberFormat="1" applyBorder="1" applyAlignment="1" applyProtection="1"/>
    <xf numFmtId="0" fontId="0" fillId="0" borderId="13" xfId="0" applyFont="1" applyBorder="1" applyAlignment="1" applyProtection="1"/>
    <xf numFmtId="4" fontId="0" fillId="0" borderId="8" xfId="0" applyNumberFormat="1" applyBorder="1" applyAlignment="1" applyProtection="1"/>
    <xf numFmtId="2" fontId="0" fillId="0" borderId="8" xfId="0" applyNumberFormat="1" applyBorder="1" applyAlignment="1" applyProtection="1"/>
    <xf numFmtId="4" fontId="0" fillId="0" borderId="12" xfId="0" applyNumberFormat="1" applyBorder="1" applyAlignment="1" applyProtection="1"/>
    <xf numFmtId="0" fontId="0" fillId="3" borderId="1" xfId="0" applyFont="1" applyFill="1" applyBorder="1" applyAlignment="1" applyProtection="1">
      <alignment horizontal="center"/>
    </xf>
    <xf numFmtId="9" fontId="0" fillId="0" borderId="3" xfId="1" applyFont="1" applyBorder="1" applyAlignment="1" applyProtection="1"/>
    <xf numFmtId="4" fontId="0" fillId="0" borderId="14" xfId="0" applyNumberFormat="1" applyBorder="1" applyAlignment="1" applyProtection="1"/>
    <xf numFmtId="0" fontId="0" fillId="3" borderId="0" xfId="0" applyFill="1" applyAlignment="1" applyProtection="1"/>
    <xf numFmtId="4" fontId="0" fillId="0" borderId="15" xfId="0" applyNumberFormat="1" applyBorder="1" applyAlignment="1" applyProtection="1"/>
    <xf numFmtId="0" fontId="1" fillId="4" borderId="1" xfId="0" applyFont="1" applyFill="1" applyBorder="1" applyAlignment="1" applyProtection="1">
      <alignment horizontal="center"/>
    </xf>
    <xf numFmtId="0" fontId="1" fillId="4" borderId="3" xfId="0" applyFont="1" applyFill="1" applyBorder="1" applyAlignment="1" applyProtection="1">
      <alignment horizontal="center"/>
    </xf>
    <xf numFmtId="0" fontId="0" fillId="3" borderId="1" xfId="0" applyFont="1" applyFill="1" applyBorder="1" applyAlignment="1" applyProtection="1">
      <alignment horizontal="left" wrapText="1"/>
    </xf>
    <xf numFmtId="4" fontId="0" fillId="3" borderId="3" xfId="0" applyNumberFormat="1" applyFill="1" applyBorder="1" applyAlignment="1" applyProtection="1">
      <alignment horizontal="right"/>
    </xf>
    <xf numFmtId="0" fontId="2" fillId="0" borderId="0" xfId="0" applyFont="1" applyAlignment="1" applyProtection="1">
      <alignment vertical="center" wrapText="1"/>
    </xf>
    <xf numFmtId="0" fontId="0" fillId="3" borderId="7" xfId="0" applyFont="1" applyFill="1" applyBorder="1" applyAlignment="1" applyProtection="1">
      <alignment horizontal="left" wrapText="1"/>
    </xf>
    <xf numFmtId="4" fontId="0" fillId="0" borderId="10" xfId="0" applyNumberFormat="1" applyBorder="1" applyAlignment="1" applyProtection="1"/>
    <xf numFmtId="0" fontId="1" fillId="2" borderId="10" xfId="0" applyFont="1" applyFill="1" applyBorder="1" applyAlignment="1" applyProtection="1">
      <alignment horizontal="center"/>
    </xf>
    <xf numFmtId="0" fontId="0" fillId="0" borderId="10" xfId="0" applyBorder="1" applyAlignment="1" applyProtection="1"/>
    <xf numFmtId="0" fontId="0" fillId="0" borderId="10" xfId="0" applyBorder="1"/>
    <xf numFmtId="10" fontId="0" fillId="0" borderId="10" xfId="0" applyNumberFormat="1" applyBorder="1"/>
    <xf numFmtId="2" fontId="0" fillId="0" borderId="10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="80" zoomScaleNormal="80" workbookViewId="0"/>
  </sheetViews>
  <sheetFormatPr defaultColWidth="10.5703125" defaultRowHeight="15"/>
  <cols>
    <col min="3" max="3" width="11.85546875" style="1" customWidth="1"/>
  </cols>
  <sheetData>
    <row r="1" spans="1:6">
      <c r="A1" s="2" t="s">
        <v>0</v>
      </c>
      <c r="B1" s="3" t="s">
        <v>1</v>
      </c>
      <c r="C1" s="3" t="s">
        <v>2</v>
      </c>
      <c r="D1" s="4" t="s">
        <v>3</v>
      </c>
      <c r="F1" s="1" t="s">
        <v>4</v>
      </c>
    </row>
    <row r="2" spans="1:6">
      <c r="A2" s="5" t="s">
        <v>5</v>
      </c>
      <c r="B2" s="6" t="s">
        <v>6</v>
      </c>
      <c r="C2" s="5" t="s">
        <v>7</v>
      </c>
      <c r="D2" s="5" t="s">
        <v>5</v>
      </c>
      <c r="F2" s="1" t="s">
        <v>8</v>
      </c>
    </row>
    <row r="3" spans="1:6">
      <c r="A3" s="7" t="s">
        <v>9</v>
      </c>
      <c r="B3" s="8" t="s">
        <v>10</v>
      </c>
      <c r="C3" s="7" t="s">
        <v>11</v>
      </c>
      <c r="D3" s="9" t="s">
        <v>9</v>
      </c>
    </row>
    <row r="4" spans="1:6">
      <c r="A4" s="9" t="s">
        <v>12</v>
      </c>
      <c r="B4" s="8" t="s">
        <v>13</v>
      </c>
      <c r="C4" s="7" t="s">
        <v>14</v>
      </c>
    </row>
    <row r="5" spans="1:6">
      <c r="B5" s="10" t="s">
        <v>15</v>
      </c>
      <c r="C5" s="7" t="s">
        <v>16</v>
      </c>
    </row>
    <row r="6" spans="1:6">
      <c r="C6" s="7" t="s">
        <v>17</v>
      </c>
    </row>
    <row r="7" spans="1:6">
      <c r="C7" s="7" t="s">
        <v>18</v>
      </c>
    </row>
    <row r="8" spans="1:6">
      <c r="C8" s="7" t="s">
        <v>19</v>
      </c>
    </row>
    <row r="9" spans="1:6">
      <c r="C9" s="9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topLeftCell="C1" zoomScale="205" zoomScaleNormal="205" workbookViewId="0">
      <selection activeCell="B4" sqref="B4"/>
    </sheetView>
  </sheetViews>
  <sheetFormatPr defaultColWidth="10.5703125" defaultRowHeight="15"/>
  <cols>
    <col min="2" max="2" width="25.28515625" style="1" customWidth="1"/>
    <col min="3" max="3" width="28.7109375" style="1" customWidth="1"/>
    <col min="4" max="4" width="18.85546875" style="1" customWidth="1"/>
    <col min="5" max="5" width="21.5703125" style="1" customWidth="1"/>
    <col min="6" max="6" width="18.7109375" style="1" customWidth="1"/>
    <col min="7" max="7" width="18.85546875" style="1" customWidth="1"/>
  </cols>
  <sheetData>
    <row r="1" spans="1:9">
      <c r="A1" s="2" t="s">
        <v>0</v>
      </c>
      <c r="B1" s="3" t="s">
        <v>21</v>
      </c>
      <c r="C1" s="3" t="s">
        <v>22</v>
      </c>
      <c r="D1" s="3" t="s">
        <v>23</v>
      </c>
      <c r="E1" s="3" t="s">
        <v>24</v>
      </c>
      <c r="F1" s="4" t="s">
        <v>25</v>
      </c>
      <c r="I1" s="1" t="s">
        <v>4</v>
      </c>
    </row>
    <row r="2" spans="1:9">
      <c r="A2" s="2" t="s">
        <v>5</v>
      </c>
      <c r="B2" s="11">
        <v>1200000</v>
      </c>
      <c r="C2" s="11">
        <v>200000</v>
      </c>
      <c r="D2" s="11">
        <v>150000</v>
      </c>
      <c r="E2" s="11">
        <v>70000</v>
      </c>
      <c r="F2" s="12">
        <v>300000</v>
      </c>
      <c r="G2" s="13"/>
    </row>
    <row r="3" spans="1:9">
      <c r="A3" s="2" t="s">
        <v>9</v>
      </c>
      <c r="B3" s="11">
        <v>1100000</v>
      </c>
      <c r="C3" s="11">
        <v>120000</v>
      </c>
      <c r="D3" s="11">
        <v>200000</v>
      </c>
      <c r="E3" s="11">
        <v>90000</v>
      </c>
      <c r="F3" s="12">
        <v>250000</v>
      </c>
      <c r="G3" s="13"/>
    </row>
    <row r="4" spans="1:9">
      <c r="A4" s="2" t="s">
        <v>12</v>
      </c>
      <c r="B4" s="11">
        <v>1350000</v>
      </c>
      <c r="C4" s="11">
        <v>110000</v>
      </c>
      <c r="D4" s="11">
        <v>0</v>
      </c>
      <c r="E4" s="11">
        <v>0</v>
      </c>
      <c r="F4" s="12">
        <v>250000</v>
      </c>
      <c r="G4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="145" zoomScaleNormal="145" workbookViewId="0">
      <selection activeCell="B8" sqref="B8"/>
    </sheetView>
  </sheetViews>
  <sheetFormatPr defaultColWidth="10.5703125" defaultRowHeight="15"/>
  <cols>
    <col min="1" max="1" width="10.85546875" style="1" customWidth="1"/>
    <col min="2" max="2" width="20.42578125" style="1" customWidth="1"/>
    <col min="3" max="3" width="16.5703125" style="1" customWidth="1"/>
  </cols>
  <sheetData>
    <row r="1" spans="1:3">
      <c r="A1" s="14" t="s">
        <v>26</v>
      </c>
      <c r="B1" s="14" t="s">
        <v>27</v>
      </c>
      <c r="C1" s="14" t="s">
        <v>28</v>
      </c>
    </row>
    <row r="2" spans="1:3">
      <c r="A2" s="7" t="s">
        <v>7</v>
      </c>
      <c r="B2" s="15">
        <v>1.0629999999999999</v>
      </c>
      <c r="C2" s="7">
        <v>1</v>
      </c>
    </row>
    <row r="3" spans="1:3">
      <c r="A3" s="7" t="s">
        <v>11</v>
      </c>
      <c r="B3" s="15">
        <v>1.0629999999999999</v>
      </c>
      <c r="C3" s="7">
        <v>1</v>
      </c>
    </row>
    <row r="4" spans="1:3">
      <c r="A4" s="7" t="s">
        <v>14</v>
      </c>
      <c r="B4" s="15">
        <v>8.7550000000000008</v>
      </c>
      <c r="C4" s="7">
        <v>0</v>
      </c>
    </row>
    <row r="5" spans="1:3">
      <c r="A5" s="7" t="s">
        <v>16</v>
      </c>
      <c r="B5" s="15">
        <v>12.25</v>
      </c>
      <c r="C5" s="7">
        <v>0</v>
      </c>
    </row>
    <row r="6" spans="1:3">
      <c r="A6" s="7" t="s">
        <v>17</v>
      </c>
      <c r="B6" s="15">
        <v>12.25</v>
      </c>
      <c r="C6" s="7">
        <v>1</v>
      </c>
    </row>
    <row r="7" spans="1:3">
      <c r="A7" s="7" t="s">
        <v>18</v>
      </c>
      <c r="B7" s="15">
        <f>12.5/0.36</f>
        <v>34.722222222222221</v>
      </c>
      <c r="C7" s="7">
        <v>1</v>
      </c>
    </row>
    <row r="8" spans="1:3">
      <c r="A8" s="7" t="s">
        <v>19</v>
      </c>
      <c r="B8" s="15">
        <v>7.2450000000000001</v>
      </c>
      <c r="C8" s="7">
        <v>1</v>
      </c>
    </row>
    <row r="9" spans="1:3">
      <c r="A9" s="9" t="s">
        <v>20</v>
      </c>
      <c r="B9" s="16">
        <v>2.395</v>
      </c>
      <c r="C9" s="9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zoomScale="175" zoomScaleNormal="175" workbookViewId="0">
      <selection activeCell="D1" sqref="D1:I3"/>
    </sheetView>
  </sheetViews>
  <sheetFormatPr defaultColWidth="10.5703125" defaultRowHeight="15"/>
  <cols>
    <col min="1" max="1" width="10.5703125" style="17"/>
    <col min="2" max="2" width="22.7109375" style="17" customWidth="1"/>
    <col min="3" max="3" width="13.140625" style="1" customWidth="1"/>
    <col min="4" max="9" width="16" customWidth="1"/>
  </cols>
  <sheetData>
    <row r="1" spans="1:11">
      <c r="A1" s="18" t="s">
        <v>0</v>
      </c>
      <c r="B1" s="18" t="s">
        <v>29</v>
      </c>
      <c r="D1" s="42" t="s">
        <v>56</v>
      </c>
      <c r="E1" s="42" t="s">
        <v>57</v>
      </c>
      <c r="F1" s="42" t="s">
        <v>58</v>
      </c>
      <c r="G1" s="42" t="s">
        <v>59</v>
      </c>
      <c r="H1" s="42" t="s">
        <v>60</v>
      </c>
      <c r="I1" s="42" t="s">
        <v>61</v>
      </c>
      <c r="K1" s="1" t="s">
        <v>4</v>
      </c>
    </row>
    <row r="2" spans="1:11">
      <c r="A2" s="18" t="s">
        <v>5</v>
      </c>
      <c r="B2" s="18">
        <v>39.619999999999997</v>
      </c>
      <c r="D2" s="44">
        <v>20</v>
      </c>
      <c r="E2" s="44">
        <v>37.5</v>
      </c>
      <c r="F2" s="44">
        <f>(1.0208*1.0228*1.1015-1)*100</f>
        <v>15.004777535999981</v>
      </c>
      <c r="G2" s="44">
        <v>25.28</v>
      </c>
      <c r="H2" s="44" cm="1">
        <f t="array" ref="H2">(PRODUCT((E2:G2/100+1))-1)*100</f>
        <v>98.107229783513588</v>
      </c>
      <c r="I2" s="44">
        <f>D2*($H$2/100+1)</f>
        <v>39.621445956702715</v>
      </c>
    </row>
    <row r="3" spans="1:11">
      <c r="A3" s="18" t="s">
        <v>9</v>
      </c>
      <c r="B3" s="18">
        <v>35.659999999999997</v>
      </c>
      <c r="D3" s="44">
        <v>18</v>
      </c>
      <c r="E3" s="44"/>
      <c r="F3" s="44"/>
      <c r="G3" s="44"/>
      <c r="H3" s="44"/>
      <c r="I3" s="44">
        <f>D3*($H$2/100+1)</f>
        <v>35.659301361032448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7"/>
  <sheetViews>
    <sheetView tabSelected="1" topLeftCell="A16" zoomScale="80" zoomScaleNormal="80" workbookViewId="0">
      <selection activeCell="F47" sqref="F47"/>
    </sheetView>
  </sheetViews>
  <sheetFormatPr defaultColWidth="10.5703125" defaultRowHeight="15"/>
  <cols>
    <col min="4" max="4" width="14.5703125" style="1" customWidth="1"/>
    <col min="5" max="5" width="10.5703125" style="19"/>
    <col min="6" max="6" width="15.28515625" style="1" customWidth="1"/>
    <col min="7" max="7" width="13.5703125" style="1" customWidth="1"/>
    <col min="8" max="8" width="20.85546875" style="1" customWidth="1"/>
    <col min="9" max="9" width="18.42578125" style="1" customWidth="1"/>
  </cols>
  <sheetData>
    <row r="1" spans="1:9">
      <c r="A1" s="2" t="s">
        <v>26</v>
      </c>
      <c r="B1" s="3" t="s">
        <v>0</v>
      </c>
      <c r="C1" s="3" t="s">
        <v>1</v>
      </c>
      <c r="D1" s="4" t="s">
        <v>30</v>
      </c>
      <c r="G1" s="14" t="s">
        <v>31</v>
      </c>
      <c r="H1" s="14" t="s">
        <v>32</v>
      </c>
      <c r="I1" s="14" t="s">
        <v>33</v>
      </c>
    </row>
    <row r="2" spans="1:9">
      <c r="A2" s="6" t="s">
        <v>7</v>
      </c>
      <c r="B2" s="6" t="s">
        <v>5</v>
      </c>
      <c r="C2" s="20" t="s">
        <v>6</v>
      </c>
      <c r="D2" s="21">
        <f t="shared" ref="D2:D33" si="0">G2*H2*I2</f>
        <v>25.3729245</v>
      </c>
      <c r="G2" s="22">
        <v>24164.69</v>
      </c>
      <c r="H2" s="23">
        <v>1.05</v>
      </c>
      <c r="I2" s="7">
        <v>1E-3</v>
      </c>
    </row>
    <row r="3" spans="1:9">
      <c r="A3" s="8" t="s">
        <v>7</v>
      </c>
      <c r="B3" s="8" t="s">
        <v>5</v>
      </c>
      <c r="C3" s="1" t="s">
        <v>10</v>
      </c>
      <c r="D3" s="21">
        <f t="shared" si="0"/>
        <v>82.609086000000005</v>
      </c>
      <c r="G3" s="22">
        <v>78675.320000000007</v>
      </c>
      <c r="H3" s="23">
        <v>1.05</v>
      </c>
      <c r="I3" s="7">
        <v>1E-3</v>
      </c>
    </row>
    <row r="4" spans="1:9">
      <c r="A4" s="8" t="s">
        <v>7</v>
      </c>
      <c r="B4" s="8" t="s">
        <v>5</v>
      </c>
      <c r="C4" s="1" t="s">
        <v>13</v>
      </c>
      <c r="D4" s="21">
        <f t="shared" si="0"/>
        <v>155.10067649999999</v>
      </c>
      <c r="G4" s="22">
        <v>147714.93</v>
      </c>
      <c r="H4" s="23">
        <v>1.05</v>
      </c>
      <c r="I4" s="7">
        <v>1E-3</v>
      </c>
    </row>
    <row r="5" spans="1:9">
      <c r="A5" s="8" t="s">
        <v>7</v>
      </c>
      <c r="B5" s="10" t="s">
        <v>5</v>
      </c>
      <c r="C5" s="24" t="s">
        <v>15</v>
      </c>
      <c r="D5" s="21">
        <f t="shared" si="0"/>
        <v>174.88678200000001</v>
      </c>
      <c r="G5" s="22">
        <v>166558.84</v>
      </c>
      <c r="H5" s="23">
        <v>1.05</v>
      </c>
      <c r="I5" s="7">
        <v>1E-3</v>
      </c>
    </row>
    <row r="6" spans="1:9">
      <c r="A6" s="8" t="s">
        <v>7</v>
      </c>
      <c r="B6" s="6" t="s">
        <v>9</v>
      </c>
      <c r="C6" s="20" t="s">
        <v>6</v>
      </c>
      <c r="D6" s="21">
        <f t="shared" si="0"/>
        <v>115.80117150000001</v>
      </c>
      <c r="G6" s="22">
        <v>110286.83</v>
      </c>
      <c r="H6" s="23">
        <v>1.05</v>
      </c>
      <c r="I6" s="7">
        <v>1E-3</v>
      </c>
    </row>
    <row r="7" spans="1:9">
      <c r="A7" s="8" t="s">
        <v>7</v>
      </c>
      <c r="B7" s="8" t="s">
        <v>9</v>
      </c>
      <c r="C7" s="1" t="s">
        <v>10</v>
      </c>
      <c r="D7" s="21">
        <f t="shared" si="0"/>
        <v>85.763286000000008</v>
      </c>
      <c r="G7" s="22">
        <v>81679.320000000007</v>
      </c>
      <c r="H7" s="23">
        <v>1.05</v>
      </c>
      <c r="I7" s="7">
        <v>1E-3</v>
      </c>
    </row>
    <row r="8" spans="1:9">
      <c r="A8" s="8" t="s">
        <v>7</v>
      </c>
      <c r="B8" s="8" t="s">
        <v>9</v>
      </c>
      <c r="C8" s="1" t="s">
        <v>13</v>
      </c>
      <c r="D8" s="21">
        <f t="shared" si="0"/>
        <v>109.718406</v>
      </c>
      <c r="G8" s="22">
        <v>104493.72</v>
      </c>
      <c r="H8" s="23">
        <v>1.05</v>
      </c>
      <c r="I8" s="7">
        <v>1E-3</v>
      </c>
    </row>
    <row r="9" spans="1:9">
      <c r="A9" s="8" t="s">
        <v>7</v>
      </c>
      <c r="B9" s="10" t="s">
        <v>9</v>
      </c>
      <c r="C9" s="24" t="s">
        <v>15</v>
      </c>
      <c r="D9" s="21">
        <f t="shared" si="0"/>
        <v>107.01490800000002</v>
      </c>
      <c r="G9" s="22">
        <v>101918.96</v>
      </c>
      <c r="H9" s="23">
        <v>1.05</v>
      </c>
      <c r="I9" s="7">
        <v>1E-3</v>
      </c>
    </row>
    <row r="10" spans="1:9">
      <c r="A10" s="8" t="s">
        <v>7</v>
      </c>
      <c r="B10" s="6" t="s">
        <v>12</v>
      </c>
      <c r="C10" s="20" t="s">
        <v>6</v>
      </c>
      <c r="D10" s="21">
        <f t="shared" si="0"/>
        <v>97.121787000000012</v>
      </c>
      <c r="G10" s="22">
        <v>92496.94</v>
      </c>
      <c r="H10" s="23">
        <v>1.05</v>
      </c>
      <c r="I10" s="7">
        <v>1E-3</v>
      </c>
    </row>
    <row r="11" spans="1:9">
      <c r="A11" s="8" t="s">
        <v>7</v>
      </c>
      <c r="B11" s="8" t="s">
        <v>12</v>
      </c>
      <c r="C11" s="1" t="s">
        <v>10</v>
      </c>
      <c r="D11" s="21">
        <f t="shared" si="0"/>
        <v>48.599680500000005</v>
      </c>
      <c r="G11" s="22">
        <v>46285.41</v>
      </c>
      <c r="H11" s="23">
        <v>1.05</v>
      </c>
      <c r="I11" s="7">
        <v>1E-3</v>
      </c>
    </row>
    <row r="12" spans="1:9">
      <c r="A12" s="8" t="s">
        <v>7</v>
      </c>
      <c r="B12" s="8" t="s">
        <v>12</v>
      </c>
      <c r="C12" s="1" t="s">
        <v>13</v>
      </c>
      <c r="D12" s="21">
        <f t="shared" si="0"/>
        <v>136.95717000000002</v>
      </c>
      <c r="G12" s="22">
        <v>130435.4</v>
      </c>
      <c r="H12" s="23">
        <v>1.05</v>
      </c>
      <c r="I12" s="7">
        <v>1E-3</v>
      </c>
    </row>
    <row r="13" spans="1:9">
      <c r="A13" s="8" t="s">
        <v>7</v>
      </c>
      <c r="B13" s="10" t="s">
        <v>12</v>
      </c>
      <c r="C13" s="24" t="s">
        <v>15</v>
      </c>
      <c r="D13" s="21">
        <f t="shared" si="0"/>
        <v>123.56915550000001</v>
      </c>
      <c r="G13" s="22">
        <v>117684.91</v>
      </c>
      <c r="H13" s="23">
        <v>1.05</v>
      </c>
      <c r="I13" s="7">
        <v>1E-3</v>
      </c>
    </row>
    <row r="14" spans="1:9">
      <c r="A14" s="5" t="s">
        <v>11</v>
      </c>
      <c r="B14" s="20" t="s">
        <v>5</v>
      </c>
      <c r="C14" s="20" t="s">
        <v>6</v>
      </c>
      <c r="D14" s="21">
        <f t="shared" si="0"/>
        <v>25.3729245</v>
      </c>
      <c r="G14" s="22">
        <v>24164.69</v>
      </c>
      <c r="H14" s="23">
        <v>1.05</v>
      </c>
      <c r="I14" s="7">
        <v>1E-3</v>
      </c>
    </row>
    <row r="15" spans="1:9">
      <c r="A15" s="7" t="s">
        <v>11</v>
      </c>
      <c r="B15" s="1" t="s">
        <v>5</v>
      </c>
      <c r="C15" s="1" t="s">
        <v>10</v>
      </c>
      <c r="D15" s="21">
        <f t="shared" si="0"/>
        <v>82.609086000000005</v>
      </c>
      <c r="G15" s="22">
        <v>78675.320000000007</v>
      </c>
      <c r="H15" s="23">
        <v>1.05</v>
      </c>
      <c r="I15" s="7">
        <v>1E-3</v>
      </c>
    </row>
    <row r="16" spans="1:9">
      <c r="A16" s="7" t="s">
        <v>11</v>
      </c>
      <c r="B16" s="1" t="s">
        <v>5</v>
      </c>
      <c r="C16" s="1" t="s">
        <v>13</v>
      </c>
      <c r="D16" s="21">
        <f t="shared" si="0"/>
        <v>155.10067649999999</v>
      </c>
      <c r="G16" s="22">
        <v>147714.93</v>
      </c>
      <c r="H16" s="23">
        <v>1.05</v>
      </c>
      <c r="I16" s="7">
        <v>1E-3</v>
      </c>
    </row>
    <row r="17" spans="1:9">
      <c r="A17" s="7" t="s">
        <v>11</v>
      </c>
      <c r="B17" s="24" t="s">
        <v>5</v>
      </c>
      <c r="C17" s="24" t="s">
        <v>15</v>
      </c>
      <c r="D17" s="21">
        <f t="shared" si="0"/>
        <v>174.88678200000001</v>
      </c>
      <c r="G17" s="22">
        <v>166558.84</v>
      </c>
      <c r="H17" s="23">
        <v>1.05</v>
      </c>
      <c r="I17" s="7">
        <v>1E-3</v>
      </c>
    </row>
    <row r="18" spans="1:9">
      <c r="A18" s="7" t="s">
        <v>11</v>
      </c>
      <c r="B18" s="20" t="s">
        <v>9</v>
      </c>
      <c r="C18" s="20" t="s">
        <v>6</v>
      </c>
      <c r="D18" s="21">
        <f t="shared" si="0"/>
        <v>115.80117150000001</v>
      </c>
      <c r="G18" s="22">
        <v>110286.83</v>
      </c>
      <c r="H18" s="23">
        <v>1.05</v>
      </c>
      <c r="I18" s="7">
        <v>1E-3</v>
      </c>
    </row>
    <row r="19" spans="1:9">
      <c r="A19" s="7" t="s">
        <v>11</v>
      </c>
      <c r="B19" s="1" t="s">
        <v>9</v>
      </c>
      <c r="C19" s="1" t="s">
        <v>10</v>
      </c>
      <c r="D19" s="21">
        <f t="shared" si="0"/>
        <v>85.763286000000008</v>
      </c>
      <c r="G19" s="22">
        <v>81679.320000000007</v>
      </c>
      <c r="H19" s="23">
        <v>1.05</v>
      </c>
      <c r="I19" s="7">
        <v>1E-3</v>
      </c>
    </row>
    <row r="20" spans="1:9">
      <c r="A20" s="7" t="s">
        <v>11</v>
      </c>
      <c r="B20" s="1" t="s">
        <v>9</v>
      </c>
      <c r="C20" s="1" t="s">
        <v>13</v>
      </c>
      <c r="D20" s="21">
        <f t="shared" si="0"/>
        <v>109.718406</v>
      </c>
      <c r="G20" s="22">
        <v>104493.72</v>
      </c>
      <c r="H20" s="23">
        <v>1.05</v>
      </c>
      <c r="I20" s="7">
        <v>1E-3</v>
      </c>
    </row>
    <row r="21" spans="1:9">
      <c r="A21" s="7" t="s">
        <v>11</v>
      </c>
      <c r="B21" s="24" t="s">
        <v>9</v>
      </c>
      <c r="C21" s="24" t="s">
        <v>15</v>
      </c>
      <c r="D21" s="21">
        <f t="shared" si="0"/>
        <v>107.01490800000002</v>
      </c>
      <c r="G21" s="22">
        <v>101918.96</v>
      </c>
      <c r="H21" s="23">
        <v>1.05</v>
      </c>
      <c r="I21" s="7">
        <v>1E-3</v>
      </c>
    </row>
    <row r="22" spans="1:9">
      <c r="A22" s="7" t="s">
        <v>11</v>
      </c>
      <c r="B22" s="20" t="s">
        <v>12</v>
      </c>
      <c r="C22" s="20" t="s">
        <v>6</v>
      </c>
      <c r="D22" s="21">
        <f t="shared" si="0"/>
        <v>97.121787000000012</v>
      </c>
      <c r="G22" s="22">
        <v>92496.94</v>
      </c>
      <c r="H22" s="23">
        <v>1.05</v>
      </c>
      <c r="I22" s="7">
        <v>1E-3</v>
      </c>
    </row>
    <row r="23" spans="1:9">
      <c r="A23" s="7" t="s">
        <v>11</v>
      </c>
      <c r="B23" s="1" t="s">
        <v>12</v>
      </c>
      <c r="C23" s="1" t="s">
        <v>10</v>
      </c>
      <c r="D23" s="21">
        <f t="shared" si="0"/>
        <v>48.599680500000005</v>
      </c>
      <c r="G23" s="22">
        <v>46285.41</v>
      </c>
      <c r="H23" s="23">
        <v>1.05</v>
      </c>
      <c r="I23" s="7">
        <v>1E-3</v>
      </c>
    </row>
    <row r="24" spans="1:9">
      <c r="A24" s="7" t="s">
        <v>11</v>
      </c>
      <c r="B24" s="1" t="s">
        <v>12</v>
      </c>
      <c r="C24" s="1" t="s">
        <v>13</v>
      </c>
      <c r="D24" s="21">
        <f t="shared" si="0"/>
        <v>136.95717000000002</v>
      </c>
      <c r="G24" s="22">
        <v>130435.4</v>
      </c>
      <c r="H24" s="23">
        <v>1.05</v>
      </c>
      <c r="I24" s="7">
        <v>1E-3</v>
      </c>
    </row>
    <row r="25" spans="1:9">
      <c r="A25" s="9" t="s">
        <v>11</v>
      </c>
      <c r="B25" s="24" t="s">
        <v>12</v>
      </c>
      <c r="C25" s="24" t="s">
        <v>15</v>
      </c>
      <c r="D25" s="21">
        <f t="shared" si="0"/>
        <v>123.56915550000001</v>
      </c>
      <c r="G25" s="22">
        <v>117684.91</v>
      </c>
      <c r="H25" s="23">
        <v>1.05</v>
      </c>
      <c r="I25" s="7">
        <v>1E-3</v>
      </c>
    </row>
    <row r="26" spans="1:9">
      <c r="A26" s="8" t="s">
        <v>14</v>
      </c>
      <c r="B26" s="6" t="s">
        <v>5</v>
      </c>
      <c r="C26" s="20" t="s">
        <v>6</v>
      </c>
      <c r="D26" s="21">
        <f t="shared" si="0"/>
        <v>24.16469</v>
      </c>
      <c r="G26" s="22">
        <v>24164.69</v>
      </c>
      <c r="H26" s="23">
        <v>1</v>
      </c>
      <c r="I26" s="7">
        <v>1E-3</v>
      </c>
    </row>
    <row r="27" spans="1:9">
      <c r="A27" s="8" t="s">
        <v>14</v>
      </c>
      <c r="B27" s="8" t="s">
        <v>5</v>
      </c>
      <c r="C27" s="1" t="s">
        <v>10</v>
      </c>
      <c r="D27" s="21">
        <f t="shared" si="0"/>
        <v>78.675320000000013</v>
      </c>
      <c r="G27" s="22">
        <v>78675.320000000007</v>
      </c>
      <c r="H27" s="23">
        <v>1</v>
      </c>
      <c r="I27" s="7">
        <v>1E-3</v>
      </c>
    </row>
    <row r="28" spans="1:9">
      <c r="A28" s="8" t="s">
        <v>14</v>
      </c>
      <c r="B28" s="8" t="s">
        <v>5</v>
      </c>
      <c r="C28" s="1" t="s">
        <v>13</v>
      </c>
      <c r="D28" s="21">
        <f t="shared" si="0"/>
        <v>147.71493000000001</v>
      </c>
      <c r="G28" s="22">
        <v>147714.93</v>
      </c>
      <c r="H28" s="23">
        <v>1</v>
      </c>
      <c r="I28" s="7">
        <v>1E-3</v>
      </c>
    </row>
    <row r="29" spans="1:9">
      <c r="A29" s="8" t="s">
        <v>14</v>
      </c>
      <c r="B29" s="10" t="s">
        <v>5</v>
      </c>
      <c r="C29" s="24" t="s">
        <v>15</v>
      </c>
      <c r="D29" s="21">
        <f t="shared" si="0"/>
        <v>166.55884</v>
      </c>
      <c r="G29" s="22">
        <v>166558.84</v>
      </c>
      <c r="H29" s="23">
        <v>1</v>
      </c>
      <c r="I29" s="7">
        <v>1E-3</v>
      </c>
    </row>
    <row r="30" spans="1:9">
      <c r="A30" s="8" t="s">
        <v>14</v>
      </c>
      <c r="B30" s="6" t="s">
        <v>9</v>
      </c>
      <c r="C30" s="20" t="s">
        <v>6</v>
      </c>
      <c r="D30" s="21">
        <f t="shared" si="0"/>
        <v>110.28683000000001</v>
      </c>
      <c r="G30" s="22">
        <v>110286.83</v>
      </c>
      <c r="H30" s="23">
        <v>1</v>
      </c>
      <c r="I30" s="7">
        <v>1E-3</v>
      </c>
    </row>
    <row r="31" spans="1:9">
      <c r="A31" s="8" t="s">
        <v>14</v>
      </c>
      <c r="B31" s="8" t="s">
        <v>9</v>
      </c>
      <c r="C31" s="1" t="s">
        <v>10</v>
      </c>
      <c r="D31" s="21">
        <f t="shared" si="0"/>
        <v>81.679320000000004</v>
      </c>
      <c r="G31" s="22">
        <v>81679.320000000007</v>
      </c>
      <c r="H31" s="23">
        <v>1</v>
      </c>
      <c r="I31" s="7">
        <v>1E-3</v>
      </c>
    </row>
    <row r="32" spans="1:9">
      <c r="A32" s="8" t="s">
        <v>14</v>
      </c>
      <c r="B32" s="8" t="s">
        <v>9</v>
      </c>
      <c r="C32" s="1" t="s">
        <v>13</v>
      </c>
      <c r="D32" s="21">
        <f t="shared" si="0"/>
        <v>104.49372000000001</v>
      </c>
      <c r="G32" s="22">
        <v>104493.72</v>
      </c>
      <c r="H32" s="23">
        <v>1</v>
      </c>
      <c r="I32" s="7">
        <v>1E-3</v>
      </c>
    </row>
    <row r="33" spans="1:9">
      <c r="A33" s="8" t="s">
        <v>14</v>
      </c>
      <c r="B33" s="10" t="s">
        <v>9</v>
      </c>
      <c r="C33" s="24" t="s">
        <v>15</v>
      </c>
      <c r="D33" s="21">
        <f t="shared" si="0"/>
        <v>101.91896000000001</v>
      </c>
      <c r="G33" s="22">
        <v>101918.96</v>
      </c>
      <c r="H33" s="23">
        <v>1</v>
      </c>
      <c r="I33" s="7">
        <v>1E-3</v>
      </c>
    </row>
    <row r="34" spans="1:9">
      <c r="A34" s="8" t="s">
        <v>14</v>
      </c>
      <c r="B34" s="6" t="s">
        <v>12</v>
      </c>
      <c r="C34" s="20" t="s">
        <v>6</v>
      </c>
      <c r="D34" s="21">
        <f t="shared" ref="D34:D65" si="1">G34*H34*I34</f>
        <v>92.496940000000009</v>
      </c>
      <c r="G34" s="22">
        <v>92496.94</v>
      </c>
      <c r="H34" s="23">
        <v>1</v>
      </c>
      <c r="I34" s="7">
        <v>1E-3</v>
      </c>
    </row>
    <row r="35" spans="1:9">
      <c r="A35" s="8" t="s">
        <v>14</v>
      </c>
      <c r="B35" s="8" t="s">
        <v>12</v>
      </c>
      <c r="C35" s="1" t="s">
        <v>10</v>
      </c>
      <c r="D35" s="21">
        <f t="shared" si="1"/>
        <v>46.285410000000006</v>
      </c>
      <c r="G35" s="22">
        <v>46285.41</v>
      </c>
      <c r="H35" s="23">
        <v>1</v>
      </c>
      <c r="I35" s="7">
        <v>1E-3</v>
      </c>
    </row>
    <row r="36" spans="1:9">
      <c r="A36" s="8" t="s">
        <v>14</v>
      </c>
      <c r="B36" s="8" t="s">
        <v>12</v>
      </c>
      <c r="C36" s="1" t="s">
        <v>13</v>
      </c>
      <c r="D36" s="21">
        <f t="shared" si="1"/>
        <v>130.43539999999999</v>
      </c>
      <c r="G36" s="22">
        <v>130435.4</v>
      </c>
      <c r="H36" s="23">
        <v>1</v>
      </c>
      <c r="I36" s="7">
        <v>1E-3</v>
      </c>
    </row>
    <row r="37" spans="1:9">
      <c r="A37" s="10" t="s">
        <v>14</v>
      </c>
      <c r="B37" s="10" t="s">
        <v>12</v>
      </c>
      <c r="C37" s="24" t="s">
        <v>15</v>
      </c>
      <c r="D37" s="21">
        <f t="shared" si="1"/>
        <v>117.68491</v>
      </c>
      <c r="G37" s="22">
        <v>117684.91</v>
      </c>
      <c r="H37" s="23">
        <v>1</v>
      </c>
      <c r="I37" s="7">
        <v>1E-3</v>
      </c>
    </row>
    <row r="38" spans="1:9">
      <c r="A38" s="6" t="s">
        <v>16</v>
      </c>
      <c r="B38" s="6" t="s">
        <v>5</v>
      </c>
      <c r="C38" s="20" t="s">
        <v>6</v>
      </c>
      <c r="D38" s="21">
        <f t="shared" si="1"/>
        <v>24.16469</v>
      </c>
      <c r="G38" s="22">
        <v>24164.69</v>
      </c>
      <c r="H38" s="23">
        <v>1</v>
      </c>
      <c r="I38" s="7">
        <v>1E-3</v>
      </c>
    </row>
    <row r="39" spans="1:9">
      <c r="A39" s="8" t="s">
        <v>16</v>
      </c>
      <c r="B39" s="8" t="s">
        <v>5</v>
      </c>
      <c r="C39" s="1" t="s">
        <v>10</v>
      </c>
      <c r="D39" s="21">
        <f t="shared" si="1"/>
        <v>78.675320000000013</v>
      </c>
      <c r="G39" s="22">
        <v>78675.320000000007</v>
      </c>
      <c r="H39" s="23">
        <v>1</v>
      </c>
      <c r="I39" s="7">
        <v>1E-3</v>
      </c>
    </row>
    <row r="40" spans="1:9">
      <c r="A40" s="8" t="s">
        <v>16</v>
      </c>
      <c r="B40" s="8" t="s">
        <v>5</v>
      </c>
      <c r="C40" s="1" t="s">
        <v>13</v>
      </c>
      <c r="D40" s="21">
        <f t="shared" si="1"/>
        <v>147.71493000000001</v>
      </c>
      <c r="G40" s="22">
        <v>147714.93</v>
      </c>
      <c r="H40" s="23">
        <v>1</v>
      </c>
      <c r="I40" s="7">
        <v>1E-3</v>
      </c>
    </row>
    <row r="41" spans="1:9">
      <c r="A41" s="8" t="s">
        <v>16</v>
      </c>
      <c r="B41" s="10" t="s">
        <v>5</v>
      </c>
      <c r="C41" s="24" t="s">
        <v>15</v>
      </c>
      <c r="D41" s="21">
        <f t="shared" si="1"/>
        <v>166.55884</v>
      </c>
      <c r="G41" s="22">
        <v>166558.84</v>
      </c>
      <c r="H41" s="23">
        <v>1</v>
      </c>
      <c r="I41" s="7">
        <v>1E-3</v>
      </c>
    </row>
    <row r="42" spans="1:9">
      <c r="A42" s="8" t="s">
        <v>16</v>
      </c>
      <c r="B42" s="6" t="s">
        <v>9</v>
      </c>
      <c r="C42" s="20" t="s">
        <v>6</v>
      </c>
      <c r="D42" s="21">
        <f t="shared" si="1"/>
        <v>110.28683000000001</v>
      </c>
      <c r="G42" s="22">
        <v>110286.83</v>
      </c>
      <c r="H42" s="23">
        <v>1</v>
      </c>
      <c r="I42" s="7">
        <v>1E-3</v>
      </c>
    </row>
    <row r="43" spans="1:9">
      <c r="A43" s="8" t="s">
        <v>16</v>
      </c>
      <c r="B43" s="8" t="s">
        <v>9</v>
      </c>
      <c r="C43" s="1" t="s">
        <v>10</v>
      </c>
      <c r="D43" s="21">
        <f t="shared" si="1"/>
        <v>81.679320000000004</v>
      </c>
      <c r="G43" s="22">
        <v>81679.320000000007</v>
      </c>
      <c r="H43" s="23">
        <v>1</v>
      </c>
      <c r="I43" s="7">
        <v>1E-3</v>
      </c>
    </row>
    <row r="44" spans="1:9">
      <c r="A44" s="8" t="s">
        <v>16</v>
      </c>
      <c r="B44" s="8" t="s">
        <v>9</v>
      </c>
      <c r="C44" s="1" t="s">
        <v>13</v>
      </c>
      <c r="D44" s="21">
        <f t="shared" si="1"/>
        <v>104.49372000000001</v>
      </c>
      <c r="G44" s="22">
        <v>104493.72</v>
      </c>
      <c r="H44" s="23">
        <v>1</v>
      </c>
      <c r="I44" s="7">
        <v>1E-3</v>
      </c>
    </row>
    <row r="45" spans="1:9">
      <c r="A45" s="8" t="s">
        <v>16</v>
      </c>
      <c r="B45" s="10" t="s">
        <v>9</v>
      </c>
      <c r="C45" s="24" t="s">
        <v>15</v>
      </c>
      <c r="D45" s="21">
        <f t="shared" si="1"/>
        <v>101.91896000000001</v>
      </c>
      <c r="G45" s="22">
        <v>101918.96</v>
      </c>
      <c r="H45" s="23">
        <v>1</v>
      </c>
      <c r="I45" s="7">
        <v>1E-3</v>
      </c>
    </row>
    <row r="46" spans="1:9">
      <c r="A46" s="8" t="s">
        <v>16</v>
      </c>
      <c r="B46" s="6" t="s">
        <v>12</v>
      </c>
      <c r="C46" s="20" t="s">
        <v>6</v>
      </c>
      <c r="D46" s="21">
        <f t="shared" si="1"/>
        <v>92.496940000000009</v>
      </c>
      <c r="G46" s="22">
        <v>92496.94</v>
      </c>
      <c r="H46" s="23">
        <v>1</v>
      </c>
      <c r="I46" s="7">
        <v>1E-3</v>
      </c>
    </row>
    <row r="47" spans="1:9">
      <c r="A47" s="8" t="s">
        <v>16</v>
      </c>
      <c r="B47" s="8" t="s">
        <v>12</v>
      </c>
      <c r="C47" s="1" t="s">
        <v>10</v>
      </c>
      <c r="D47" s="21">
        <f t="shared" si="1"/>
        <v>46.285410000000006</v>
      </c>
      <c r="G47" s="22">
        <v>46285.41</v>
      </c>
      <c r="H47" s="23">
        <v>1</v>
      </c>
      <c r="I47" s="7">
        <v>1E-3</v>
      </c>
    </row>
    <row r="48" spans="1:9">
      <c r="A48" s="8" t="s">
        <v>16</v>
      </c>
      <c r="B48" s="8" t="s">
        <v>12</v>
      </c>
      <c r="C48" s="1" t="s">
        <v>13</v>
      </c>
      <c r="D48" s="21">
        <f t="shared" si="1"/>
        <v>130.43539999999999</v>
      </c>
      <c r="G48" s="22">
        <v>130435.4</v>
      </c>
      <c r="H48" s="23">
        <v>1</v>
      </c>
      <c r="I48" s="7">
        <v>1E-3</v>
      </c>
    </row>
    <row r="49" spans="1:9">
      <c r="A49" s="10" t="s">
        <v>16</v>
      </c>
      <c r="B49" s="10" t="s">
        <v>12</v>
      </c>
      <c r="C49" s="24" t="s">
        <v>15</v>
      </c>
      <c r="D49" s="21">
        <f t="shared" si="1"/>
        <v>117.68491</v>
      </c>
      <c r="G49" s="22">
        <v>117684.91</v>
      </c>
      <c r="H49" s="23">
        <v>1</v>
      </c>
      <c r="I49" s="7">
        <v>1E-3</v>
      </c>
    </row>
    <row r="50" spans="1:9">
      <c r="A50" s="6" t="s">
        <v>17</v>
      </c>
      <c r="B50" s="6" t="s">
        <v>5</v>
      </c>
      <c r="C50" s="20" t="s">
        <v>6</v>
      </c>
      <c r="D50" s="21">
        <f t="shared" si="1"/>
        <v>25.3729245</v>
      </c>
      <c r="G50" s="22">
        <v>24164.69</v>
      </c>
      <c r="H50" s="23">
        <v>1.05</v>
      </c>
      <c r="I50" s="7">
        <v>1E-3</v>
      </c>
    </row>
    <row r="51" spans="1:9">
      <c r="A51" s="8" t="s">
        <v>17</v>
      </c>
      <c r="B51" s="8" t="s">
        <v>5</v>
      </c>
      <c r="C51" s="1" t="s">
        <v>10</v>
      </c>
      <c r="D51" s="21">
        <f t="shared" si="1"/>
        <v>82.609086000000005</v>
      </c>
      <c r="G51" s="22">
        <v>78675.320000000007</v>
      </c>
      <c r="H51" s="23">
        <v>1.05</v>
      </c>
      <c r="I51" s="7">
        <v>1E-3</v>
      </c>
    </row>
    <row r="52" spans="1:9">
      <c r="A52" s="8" t="s">
        <v>17</v>
      </c>
      <c r="B52" s="8" t="s">
        <v>5</v>
      </c>
      <c r="C52" s="1" t="s">
        <v>13</v>
      </c>
      <c r="D52" s="21">
        <f t="shared" si="1"/>
        <v>155.10067649999999</v>
      </c>
      <c r="G52" s="22">
        <v>147714.93</v>
      </c>
      <c r="H52" s="23">
        <v>1.05</v>
      </c>
      <c r="I52" s="7">
        <v>1E-3</v>
      </c>
    </row>
    <row r="53" spans="1:9">
      <c r="A53" s="8" t="s">
        <v>17</v>
      </c>
      <c r="B53" s="10" t="s">
        <v>5</v>
      </c>
      <c r="C53" s="24" t="s">
        <v>15</v>
      </c>
      <c r="D53" s="21">
        <f t="shared" si="1"/>
        <v>174.88678200000001</v>
      </c>
      <c r="G53" s="22">
        <v>166558.84</v>
      </c>
      <c r="H53" s="23">
        <v>1.05</v>
      </c>
      <c r="I53" s="7">
        <v>1E-3</v>
      </c>
    </row>
    <row r="54" spans="1:9">
      <c r="A54" s="8" t="s">
        <v>17</v>
      </c>
      <c r="B54" s="6" t="s">
        <v>9</v>
      </c>
      <c r="C54" s="20" t="s">
        <v>6</v>
      </c>
      <c r="D54" s="21">
        <f t="shared" si="1"/>
        <v>115.80117150000001</v>
      </c>
      <c r="G54" s="22">
        <v>110286.83</v>
      </c>
      <c r="H54" s="23">
        <v>1.05</v>
      </c>
      <c r="I54" s="7">
        <v>1E-3</v>
      </c>
    </row>
    <row r="55" spans="1:9">
      <c r="A55" s="8" t="s">
        <v>17</v>
      </c>
      <c r="B55" s="8" t="s">
        <v>9</v>
      </c>
      <c r="C55" s="1" t="s">
        <v>10</v>
      </c>
      <c r="D55" s="21">
        <f t="shared" si="1"/>
        <v>85.763286000000008</v>
      </c>
      <c r="G55" s="22">
        <v>81679.320000000007</v>
      </c>
      <c r="H55" s="23">
        <v>1.05</v>
      </c>
      <c r="I55" s="7">
        <v>1E-3</v>
      </c>
    </row>
    <row r="56" spans="1:9">
      <c r="A56" s="8" t="s">
        <v>17</v>
      </c>
      <c r="B56" s="8" t="s">
        <v>9</v>
      </c>
      <c r="C56" s="1" t="s">
        <v>13</v>
      </c>
      <c r="D56" s="21">
        <f t="shared" si="1"/>
        <v>109.718406</v>
      </c>
      <c r="G56" s="22">
        <v>104493.72</v>
      </c>
      <c r="H56" s="23">
        <v>1.05</v>
      </c>
      <c r="I56" s="7">
        <v>1E-3</v>
      </c>
    </row>
    <row r="57" spans="1:9">
      <c r="A57" s="8" t="s">
        <v>17</v>
      </c>
      <c r="B57" s="10" t="s">
        <v>9</v>
      </c>
      <c r="C57" s="24" t="s">
        <v>15</v>
      </c>
      <c r="D57" s="21">
        <f t="shared" si="1"/>
        <v>107.01490800000002</v>
      </c>
      <c r="G57" s="22">
        <v>101918.96</v>
      </c>
      <c r="H57" s="23">
        <v>1.05</v>
      </c>
      <c r="I57" s="7">
        <v>1E-3</v>
      </c>
    </row>
    <row r="58" spans="1:9">
      <c r="A58" s="8" t="s">
        <v>17</v>
      </c>
      <c r="B58" s="6" t="s">
        <v>12</v>
      </c>
      <c r="C58" s="20" t="s">
        <v>6</v>
      </c>
      <c r="D58" s="21">
        <f t="shared" si="1"/>
        <v>97.121787000000012</v>
      </c>
      <c r="G58" s="22">
        <v>92496.94</v>
      </c>
      <c r="H58" s="23">
        <v>1.05</v>
      </c>
      <c r="I58" s="7">
        <v>1E-3</v>
      </c>
    </row>
    <row r="59" spans="1:9">
      <c r="A59" s="8" t="s">
        <v>17</v>
      </c>
      <c r="B59" s="8" t="s">
        <v>12</v>
      </c>
      <c r="C59" s="1" t="s">
        <v>10</v>
      </c>
      <c r="D59" s="21">
        <f t="shared" si="1"/>
        <v>48.599680500000005</v>
      </c>
      <c r="G59" s="22">
        <v>46285.41</v>
      </c>
      <c r="H59" s="23">
        <v>1.05</v>
      </c>
      <c r="I59" s="7">
        <v>1E-3</v>
      </c>
    </row>
    <row r="60" spans="1:9">
      <c r="A60" s="8" t="s">
        <v>17</v>
      </c>
      <c r="B60" s="8" t="s">
        <v>12</v>
      </c>
      <c r="C60" s="1" t="s">
        <v>13</v>
      </c>
      <c r="D60" s="21">
        <f t="shared" si="1"/>
        <v>136.95717000000002</v>
      </c>
      <c r="G60" s="22">
        <v>130435.4</v>
      </c>
      <c r="H60" s="23">
        <v>1.05</v>
      </c>
      <c r="I60" s="7">
        <v>1E-3</v>
      </c>
    </row>
    <row r="61" spans="1:9">
      <c r="A61" s="10" t="s">
        <v>17</v>
      </c>
      <c r="B61" s="10" t="s">
        <v>12</v>
      </c>
      <c r="C61" s="24" t="s">
        <v>15</v>
      </c>
      <c r="D61" s="21">
        <f t="shared" si="1"/>
        <v>123.56915550000001</v>
      </c>
      <c r="G61" s="22">
        <v>117684.91</v>
      </c>
      <c r="H61" s="23">
        <v>1.05</v>
      </c>
      <c r="I61" s="7">
        <v>1E-3</v>
      </c>
    </row>
    <row r="62" spans="1:9">
      <c r="A62" s="6" t="s">
        <v>18</v>
      </c>
      <c r="B62" s="6" t="s">
        <v>5</v>
      </c>
      <c r="C62" s="20" t="s">
        <v>6</v>
      </c>
      <c r="D62" s="21">
        <f t="shared" si="1"/>
        <v>25.3729245</v>
      </c>
      <c r="G62" s="22">
        <v>24164.69</v>
      </c>
      <c r="H62" s="23">
        <v>1.05</v>
      </c>
      <c r="I62" s="7">
        <v>1E-3</v>
      </c>
    </row>
    <row r="63" spans="1:9">
      <c r="A63" s="8" t="s">
        <v>18</v>
      </c>
      <c r="B63" s="8" t="s">
        <v>5</v>
      </c>
      <c r="C63" s="1" t="s">
        <v>10</v>
      </c>
      <c r="D63" s="21">
        <f t="shared" si="1"/>
        <v>82.609086000000005</v>
      </c>
      <c r="G63" s="22">
        <v>78675.320000000007</v>
      </c>
      <c r="H63" s="23">
        <v>1.05</v>
      </c>
      <c r="I63" s="7">
        <v>1E-3</v>
      </c>
    </row>
    <row r="64" spans="1:9">
      <c r="A64" s="8" t="s">
        <v>18</v>
      </c>
      <c r="B64" s="8" t="s">
        <v>5</v>
      </c>
      <c r="C64" s="1" t="s">
        <v>13</v>
      </c>
      <c r="D64" s="21">
        <f t="shared" si="1"/>
        <v>155.10067649999999</v>
      </c>
      <c r="G64" s="22">
        <v>147714.93</v>
      </c>
      <c r="H64" s="23">
        <v>1.05</v>
      </c>
      <c r="I64" s="7">
        <v>1E-3</v>
      </c>
    </row>
    <row r="65" spans="1:9">
      <c r="A65" s="8" t="s">
        <v>18</v>
      </c>
      <c r="B65" s="10" t="s">
        <v>5</v>
      </c>
      <c r="C65" s="24" t="s">
        <v>15</v>
      </c>
      <c r="D65" s="21">
        <f t="shared" si="1"/>
        <v>174.88678200000001</v>
      </c>
      <c r="G65" s="22">
        <v>166558.84</v>
      </c>
      <c r="H65" s="23">
        <v>1.05</v>
      </c>
      <c r="I65" s="7">
        <v>1E-3</v>
      </c>
    </row>
    <row r="66" spans="1:9">
      <c r="A66" s="8" t="s">
        <v>18</v>
      </c>
      <c r="B66" s="6" t="s">
        <v>9</v>
      </c>
      <c r="C66" s="20" t="s">
        <v>6</v>
      </c>
      <c r="D66" s="21">
        <f t="shared" ref="D66:D97" si="2">G66*H66*I66</f>
        <v>115.80117150000001</v>
      </c>
      <c r="G66" s="22">
        <v>110286.83</v>
      </c>
      <c r="H66" s="23">
        <v>1.05</v>
      </c>
      <c r="I66" s="7">
        <v>1E-3</v>
      </c>
    </row>
    <row r="67" spans="1:9">
      <c r="A67" s="8" t="s">
        <v>18</v>
      </c>
      <c r="B67" s="8" t="s">
        <v>9</v>
      </c>
      <c r="C67" s="1" t="s">
        <v>10</v>
      </c>
      <c r="D67" s="21">
        <f t="shared" si="2"/>
        <v>85.763286000000008</v>
      </c>
      <c r="G67" s="22">
        <v>81679.320000000007</v>
      </c>
      <c r="H67" s="23">
        <v>1.05</v>
      </c>
      <c r="I67" s="7">
        <v>1E-3</v>
      </c>
    </row>
    <row r="68" spans="1:9">
      <c r="A68" s="8" t="s">
        <v>18</v>
      </c>
      <c r="B68" s="8" t="s">
        <v>9</v>
      </c>
      <c r="C68" s="1" t="s">
        <v>13</v>
      </c>
      <c r="D68" s="21">
        <f t="shared" si="2"/>
        <v>109.718406</v>
      </c>
      <c r="G68" s="22">
        <v>104493.72</v>
      </c>
      <c r="H68" s="23">
        <v>1.05</v>
      </c>
      <c r="I68" s="7">
        <v>1E-3</v>
      </c>
    </row>
    <row r="69" spans="1:9">
      <c r="A69" s="8" t="s">
        <v>18</v>
      </c>
      <c r="B69" s="10" t="s">
        <v>9</v>
      </c>
      <c r="C69" s="24" t="s">
        <v>15</v>
      </c>
      <c r="D69" s="21">
        <f t="shared" si="2"/>
        <v>107.01490800000002</v>
      </c>
      <c r="G69" s="22">
        <v>101918.96</v>
      </c>
      <c r="H69" s="23">
        <v>1.05</v>
      </c>
      <c r="I69" s="7">
        <v>1E-3</v>
      </c>
    </row>
    <row r="70" spans="1:9">
      <c r="A70" s="8" t="s">
        <v>18</v>
      </c>
      <c r="B70" s="6" t="s">
        <v>12</v>
      </c>
      <c r="C70" s="20" t="s">
        <v>6</v>
      </c>
      <c r="D70" s="21">
        <f t="shared" si="2"/>
        <v>97.121787000000012</v>
      </c>
      <c r="G70" s="22">
        <v>92496.94</v>
      </c>
      <c r="H70" s="23">
        <v>1.05</v>
      </c>
      <c r="I70" s="7">
        <v>1E-3</v>
      </c>
    </row>
    <row r="71" spans="1:9">
      <c r="A71" s="8" t="s">
        <v>18</v>
      </c>
      <c r="B71" s="8" t="s">
        <v>12</v>
      </c>
      <c r="C71" s="1" t="s">
        <v>10</v>
      </c>
      <c r="D71" s="21">
        <f t="shared" si="2"/>
        <v>48.599680500000005</v>
      </c>
      <c r="G71" s="22">
        <v>46285.41</v>
      </c>
      <c r="H71" s="23">
        <v>1.05</v>
      </c>
      <c r="I71" s="7">
        <v>1E-3</v>
      </c>
    </row>
    <row r="72" spans="1:9">
      <c r="A72" s="8" t="s">
        <v>18</v>
      </c>
      <c r="B72" s="8" t="s">
        <v>12</v>
      </c>
      <c r="C72" s="1" t="s">
        <v>13</v>
      </c>
      <c r="D72" s="21">
        <f t="shared" si="2"/>
        <v>136.95717000000002</v>
      </c>
      <c r="G72" s="22">
        <v>130435.4</v>
      </c>
      <c r="H72" s="23">
        <v>1.05</v>
      </c>
      <c r="I72" s="7">
        <v>1E-3</v>
      </c>
    </row>
    <row r="73" spans="1:9">
      <c r="A73" s="10" t="s">
        <v>18</v>
      </c>
      <c r="B73" s="10" t="s">
        <v>12</v>
      </c>
      <c r="C73" s="24" t="s">
        <v>15</v>
      </c>
      <c r="D73" s="21">
        <f t="shared" si="2"/>
        <v>123.56915550000001</v>
      </c>
      <c r="G73" s="22">
        <v>117684.91</v>
      </c>
      <c r="H73" s="23">
        <v>1.05</v>
      </c>
      <c r="I73" s="7">
        <v>1E-3</v>
      </c>
    </row>
    <row r="74" spans="1:9">
      <c r="A74" s="6" t="s">
        <v>19</v>
      </c>
      <c r="B74" s="6" t="s">
        <v>5</v>
      </c>
      <c r="C74" s="20" t="s">
        <v>6</v>
      </c>
      <c r="D74" s="21">
        <f t="shared" si="2"/>
        <v>25.3729245</v>
      </c>
      <c r="G74" s="22">
        <v>24164.69</v>
      </c>
      <c r="H74" s="23">
        <v>1.05</v>
      </c>
      <c r="I74" s="7">
        <v>1E-3</v>
      </c>
    </row>
    <row r="75" spans="1:9">
      <c r="A75" s="8" t="s">
        <v>19</v>
      </c>
      <c r="B75" s="8" t="s">
        <v>5</v>
      </c>
      <c r="C75" s="1" t="s">
        <v>10</v>
      </c>
      <c r="D75" s="21">
        <f t="shared" si="2"/>
        <v>82.609086000000005</v>
      </c>
      <c r="G75" s="22">
        <v>78675.320000000007</v>
      </c>
      <c r="H75" s="23">
        <v>1.05</v>
      </c>
      <c r="I75" s="7">
        <v>1E-3</v>
      </c>
    </row>
    <row r="76" spans="1:9">
      <c r="A76" s="8" t="s">
        <v>19</v>
      </c>
      <c r="B76" s="8" t="s">
        <v>5</v>
      </c>
      <c r="C76" s="1" t="s">
        <v>13</v>
      </c>
      <c r="D76" s="21">
        <f t="shared" si="2"/>
        <v>155.10067649999999</v>
      </c>
      <c r="G76" s="22">
        <v>147714.93</v>
      </c>
      <c r="H76" s="23">
        <v>1.05</v>
      </c>
      <c r="I76" s="7">
        <v>1E-3</v>
      </c>
    </row>
    <row r="77" spans="1:9">
      <c r="A77" s="8" t="s">
        <v>19</v>
      </c>
      <c r="B77" s="10" t="s">
        <v>5</v>
      </c>
      <c r="C77" s="24" t="s">
        <v>15</v>
      </c>
      <c r="D77" s="21">
        <f t="shared" si="2"/>
        <v>174.88678200000001</v>
      </c>
      <c r="G77" s="22">
        <v>166558.84</v>
      </c>
      <c r="H77" s="23">
        <v>1.05</v>
      </c>
      <c r="I77" s="7">
        <v>1E-3</v>
      </c>
    </row>
    <row r="78" spans="1:9">
      <c r="A78" s="8" t="s">
        <v>19</v>
      </c>
      <c r="B78" s="6" t="s">
        <v>9</v>
      </c>
      <c r="C78" s="20" t="s">
        <v>6</v>
      </c>
      <c r="D78" s="21">
        <f t="shared" si="2"/>
        <v>115.80117150000001</v>
      </c>
      <c r="G78" s="22">
        <v>110286.83</v>
      </c>
      <c r="H78" s="23">
        <v>1.05</v>
      </c>
      <c r="I78" s="7">
        <v>1E-3</v>
      </c>
    </row>
    <row r="79" spans="1:9">
      <c r="A79" s="8" t="s">
        <v>19</v>
      </c>
      <c r="B79" s="8" t="s">
        <v>9</v>
      </c>
      <c r="C79" s="1" t="s">
        <v>10</v>
      </c>
      <c r="D79" s="21">
        <f t="shared" si="2"/>
        <v>85.763286000000008</v>
      </c>
      <c r="G79" s="22">
        <v>81679.320000000007</v>
      </c>
      <c r="H79" s="23">
        <v>1.05</v>
      </c>
      <c r="I79" s="7">
        <v>1E-3</v>
      </c>
    </row>
    <row r="80" spans="1:9">
      <c r="A80" s="8" t="s">
        <v>19</v>
      </c>
      <c r="B80" s="8" t="s">
        <v>9</v>
      </c>
      <c r="C80" s="1" t="s">
        <v>13</v>
      </c>
      <c r="D80" s="21">
        <f t="shared" si="2"/>
        <v>109.718406</v>
      </c>
      <c r="G80" s="22">
        <v>104493.72</v>
      </c>
      <c r="H80" s="23">
        <v>1.05</v>
      </c>
      <c r="I80" s="7">
        <v>1E-3</v>
      </c>
    </row>
    <row r="81" spans="1:9">
      <c r="A81" s="8" t="s">
        <v>19</v>
      </c>
      <c r="B81" s="10" t="s">
        <v>9</v>
      </c>
      <c r="C81" s="24" t="s">
        <v>15</v>
      </c>
      <c r="D81" s="21">
        <f t="shared" si="2"/>
        <v>107.01490800000002</v>
      </c>
      <c r="G81" s="22">
        <v>101918.96</v>
      </c>
      <c r="H81" s="23">
        <v>1.05</v>
      </c>
      <c r="I81" s="7">
        <v>1E-3</v>
      </c>
    </row>
    <row r="82" spans="1:9">
      <c r="A82" s="8" t="s">
        <v>19</v>
      </c>
      <c r="B82" s="6" t="s">
        <v>12</v>
      </c>
      <c r="C82" s="20" t="s">
        <v>6</v>
      </c>
      <c r="D82" s="21">
        <f t="shared" si="2"/>
        <v>97.121787000000012</v>
      </c>
      <c r="G82" s="22">
        <v>92496.94</v>
      </c>
      <c r="H82" s="23">
        <v>1.05</v>
      </c>
      <c r="I82" s="7">
        <v>1E-3</v>
      </c>
    </row>
    <row r="83" spans="1:9">
      <c r="A83" s="8" t="s">
        <v>19</v>
      </c>
      <c r="B83" s="8" t="s">
        <v>12</v>
      </c>
      <c r="C83" s="1" t="s">
        <v>10</v>
      </c>
      <c r="D83" s="21">
        <f t="shared" si="2"/>
        <v>48.599680500000005</v>
      </c>
      <c r="G83" s="22">
        <v>46285.41</v>
      </c>
      <c r="H83" s="23">
        <v>1.05</v>
      </c>
      <c r="I83" s="7">
        <v>1E-3</v>
      </c>
    </row>
    <row r="84" spans="1:9">
      <c r="A84" s="8" t="s">
        <v>19</v>
      </c>
      <c r="B84" s="8" t="s">
        <v>12</v>
      </c>
      <c r="C84" s="1" t="s">
        <v>13</v>
      </c>
      <c r="D84" s="21">
        <f t="shared" si="2"/>
        <v>136.95717000000002</v>
      </c>
      <c r="G84" s="22">
        <v>130435.4</v>
      </c>
      <c r="H84" s="23">
        <v>1.05</v>
      </c>
      <c r="I84" s="7">
        <v>1E-3</v>
      </c>
    </row>
    <row r="85" spans="1:9">
      <c r="A85" s="10" t="s">
        <v>19</v>
      </c>
      <c r="B85" s="10" t="s">
        <v>12</v>
      </c>
      <c r="C85" s="24" t="s">
        <v>15</v>
      </c>
      <c r="D85" s="21">
        <f t="shared" si="2"/>
        <v>123.56915550000001</v>
      </c>
      <c r="G85" s="22">
        <v>117684.91</v>
      </c>
      <c r="H85" s="23">
        <v>1.05</v>
      </c>
      <c r="I85" s="7">
        <v>1E-3</v>
      </c>
    </row>
    <row r="86" spans="1:9">
      <c r="A86" s="6" t="s">
        <v>20</v>
      </c>
      <c r="B86" s="6" t="s">
        <v>5</v>
      </c>
      <c r="C86" s="20" t="s">
        <v>6</v>
      </c>
      <c r="D86" s="21">
        <f t="shared" si="2"/>
        <v>25.3729245</v>
      </c>
      <c r="G86" s="22">
        <v>24164.69</v>
      </c>
      <c r="H86" s="23">
        <v>1.05</v>
      </c>
      <c r="I86" s="7">
        <v>1E-3</v>
      </c>
    </row>
    <row r="87" spans="1:9">
      <c r="A87" s="8" t="s">
        <v>20</v>
      </c>
      <c r="B87" s="8" t="s">
        <v>5</v>
      </c>
      <c r="C87" s="1" t="s">
        <v>10</v>
      </c>
      <c r="D87" s="21">
        <f t="shared" si="2"/>
        <v>82.609086000000005</v>
      </c>
      <c r="G87" s="22">
        <v>78675.320000000007</v>
      </c>
      <c r="H87" s="23">
        <v>1.05</v>
      </c>
      <c r="I87" s="7">
        <v>1E-3</v>
      </c>
    </row>
    <row r="88" spans="1:9">
      <c r="A88" s="8" t="s">
        <v>20</v>
      </c>
      <c r="B88" s="8" t="s">
        <v>5</v>
      </c>
      <c r="C88" s="1" t="s">
        <v>13</v>
      </c>
      <c r="D88" s="21">
        <f t="shared" si="2"/>
        <v>155.10067649999999</v>
      </c>
      <c r="G88" s="22">
        <v>147714.93</v>
      </c>
      <c r="H88" s="23">
        <v>1.05</v>
      </c>
      <c r="I88" s="7">
        <v>1E-3</v>
      </c>
    </row>
    <row r="89" spans="1:9">
      <c r="A89" s="8" t="s">
        <v>20</v>
      </c>
      <c r="B89" s="10" t="s">
        <v>5</v>
      </c>
      <c r="C89" s="24" t="s">
        <v>15</v>
      </c>
      <c r="D89" s="21">
        <f t="shared" si="2"/>
        <v>174.88678200000001</v>
      </c>
      <c r="G89" s="22">
        <v>166558.84</v>
      </c>
      <c r="H89" s="23">
        <v>1.05</v>
      </c>
      <c r="I89" s="7">
        <v>1E-3</v>
      </c>
    </row>
    <row r="90" spans="1:9">
      <c r="A90" s="8" t="s">
        <v>20</v>
      </c>
      <c r="B90" s="6" t="s">
        <v>9</v>
      </c>
      <c r="C90" s="20" t="s">
        <v>6</v>
      </c>
      <c r="D90" s="21">
        <f t="shared" si="2"/>
        <v>115.80117150000001</v>
      </c>
      <c r="G90" s="22">
        <v>110286.83</v>
      </c>
      <c r="H90" s="23">
        <v>1.05</v>
      </c>
      <c r="I90" s="7">
        <v>1E-3</v>
      </c>
    </row>
    <row r="91" spans="1:9">
      <c r="A91" s="8" t="s">
        <v>20</v>
      </c>
      <c r="B91" s="8" t="s">
        <v>9</v>
      </c>
      <c r="C91" s="1" t="s">
        <v>10</v>
      </c>
      <c r="D91" s="21">
        <f t="shared" si="2"/>
        <v>85.763286000000008</v>
      </c>
      <c r="G91" s="22">
        <v>81679.320000000007</v>
      </c>
      <c r="H91" s="23">
        <v>1.05</v>
      </c>
      <c r="I91" s="7">
        <v>1E-3</v>
      </c>
    </row>
    <row r="92" spans="1:9">
      <c r="A92" s="8" t="s">
        <v>20</v>
      </c>
      <c r="B92" s="8" t="s">
        <v>9</v>
      </c>
      <c r="C92" s="1" t="s">
        <v>13</v>
      </c>
      <c r="D92" s="21">
        <f t="shared" si="2"/>
        <v>109.718406</v>
      </c>
      <c r="G92" s="22">
        <v>104493.72</v>
      </c>
      <c r="H92" s="23">
        <v>1.05</v>
      </c>
      <c r="I92" s="7">
        <v>1E-3</v>
      </c>
    </row>
    <row r="93" spans="1:9">
      <c r="A93" s="8" t="s">
        <v>20</v>
      </c>
      <c r="B93" s="10" t="s">
        <v>9</v>
      </c>
      <c r="C93" s="24" t="s">
        <v>15</v>
      </c>
      <c r="D93" s="21">
        <f t="shared" si="2"/>
        <v>107.01490800000002</v>
      </c>
      <c r="G93" s="22">
        <v>101918.96</v>
      </c>
      <c r="H93" s="23">
        <v>1.05</v>
      </c>
      <c r="I93" s="7">
        <v>1E-3</v>
      </c>
    </row>
    <row r="94" spans="1:9">
      <c r="A94" s="8" t="s">
        <v>20</v>
      </c>
      <c r="B94" s="6" t="s">
        <v>12</v>
      </c>
      <c r="C94" s="20" t="s">
        <v>6</v>
      </c>
      <c r="D94" s="21">
        <f t="shared" si="2"/>
        <v>97.121787000000012</v>
      </c>
      <c r="G94" s="22">
        <v>92496.94</v>
      </c>
      <c r="H94" s="23">
        <v>1.05</v>
      </c>
      <c r="I94" s="7">
        <v>1E-3</v>
      </c>
    </row>
    <row r="95" spans="1:9">
      <c r="A95" s="8" t="s">
        <v>20</v>
      </c>
      <c r="B95" s="8" t="s">
        <v>12</v>
      </c>
      <c r="C95" s="1" t="s">
        <v>10</v>
      </c>
      <c r="D95" s="21">
        <f t="shared" si="2"/>
        <v>48.599680500000005</v>
      </c>
      <c r="G95" s="22">
        <v>46285.41</v>
      </c>
      <c r="H95" s="23">
        <v>1.05</v>
      </c>
      <c r="I95" s="7">
        <v>1E-3</v>
      </c>
    </row>
    <row r="96" spans="1:9">
      <c r="A96" s="8" t="s">
        <v>20</v>
      </c>
      <c r="B96" s="8" t="s">
        <v>12</v>
      </c>
      <c r="C96" s="1" t="s">
        <v>13</v>
      </c>
      <c r="D96" s="21">
        <f t="shared" si="2"/>
        <v>136.95717000000002</v>
      </c>
      <c r="G96" s="22">
        <v>130435.4</v>
      </c>
      <c r="H96" s="23">
        <v>1.05</v>
      </c>
      <c r="I96" s="7">
        <v>1E-3</v>
      </c>
    </row>
    <row r="97" spans="1:9">
      <c r="A97" s="10" t="s">
        <v>20</v>
      </c>
      <c r="B97" s="10" t="s">
        <v>12</v>
      </c>
      <c r="C97" s="24" t="s">
        <v>15</v>
      </c>
      <c r="D97" s="21">
        <f t="shared" si="2"/>
        <v>123.56915550000001</v>
      </c>
      <c r="G97" s="25">
        <v>117684.91</v>
      </c>
      <c r="H97" s="26">
        <v>1.05</v>
      </c>
      <c r="I97" s="9">
        <v>1E-3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"/>
  <sheetViews>
    <sheetView zoomScale="145" zoomScaleNormal="145" workbookViewId="0">
      <selection activeCell="D15" sqref="D15"/>
    </sheetView>
  </sheetViews>
  <sheetFormatPr defaultColWidth="10.5703125" defaultRowHeight="15"/>
  <cols>
    <col min="3" max="3" width="15.85546875" style="1" customWidth="1"/>
    <col min="6" max="6" width="30.28515625" style="1" customWidth="1"/>
    <col min="7" max="7" width="21.7109375" style="1" customWidth="1"/>
    <col min="11" max="11" width="31" style="1" customWidth="1"/>
    <col min="12" max="12" width="14.85546875" style="1" customWidth="1"/>
  </cols>
  <sheetData>
    <row r="1" spans="1:12">
      <c r="A1" s="2" t="s">
        <v>26</v>
      </c>
      <c r="B1" s="3" t="s">
        <v>34</v>
      </c>
      <c r="C1" s="4" t="s">
        <v>35</v>
      </c>
      <c r="F1" s="40" t="s">
        <v>36</v>
      </c>
      <c r="G1" s="40"/>
    </row>
    <row r="2" spans="1:12">
      <c r="A2" s="6" t="s">
        <v>7</v>
      </c>
      <c r="B2" s="20" t="s">
        <v>6</v>
      </c>
      <c r="C2" s="27">
        <f>$G$9*$G$2*$G3</f>
        <v>802978.3523250001</v>
      </c>
      <c r="F2" s="28" t="s">
        <v>37</v>
      </c>
      <c r="G2" s="29">
        <v>0.03</v>
      </c>
    </row>
    <row r="3" spans="1:12">
      <c r="A3" s="8" t="s">
        <v>7</v>
      </c>
      <c r="B3" s="1" t="s">
        <v>10</v>
      </c>
      <c r="C3" s="30">
        <f>$G$9*$G$2*$G4</f>
        <v>446099.08462500002</v>
      </c>
      <c r="F3" s="2" t="s">
        <v>38</v>
      </c>
      <c r="G3" s="29">
        <v>0.45</v>
      </c>
    </row>
    <row r="4" spans="1:12">
      <c r="A4" s="8" t="s">
        <v>7</v>
      </c>
      <c r="B4" s="1" t="s">
        <v>13</v>
      </c>
      <c r="C4" s="30">
        <f>$G$9*$G$2*$G5</f>
        <v>321191.34093000001</v>
      </c>
      <c r="F4" s="2" t="s">
        <v>39</v>
      </c>
      <c r="G4" s="29">
        <v>0.25</v>
      </c>
      <c r="K4" s="31"/>
    </row>
    <row r="5" spans="1:12">
      <c r="A5" s="10" t="s">
        <v>7</v>
      </c>
      <c r="B5" s="24" t="s">
        <v>15</v>
      </c>
      <c r="C5" s="32">
        <f>$G$9*$G$2*$G6</f>
        <v>214127.56062</v>
      </c>
      <c r="F5" s="2" t="s">
        <v>40</v>
      </c>
      <c r="G5" s="29">
        <v>0.18</v>
      </c>
      <c r="K5" s="31"/>
      <c r="L5" s="13"/>
    </row>
    <row r="6" spans="1:12">
      <c r="A6" s="6" t="s">
        <v>11</v>
      </c>
      <c r="B6" s="20" t="s">
        <v>6</v>
      </c>
      <c r="C6" s="27">
        <f>$G$10*$G$2*$G3</f>
        <v>465349.48267499992</v>
      </c>
      <c r="F6" s="2" t="s">
        <v>41</v>
      </c>
      <c r="G6" s="29">
        <v>0.12</v>
      </c>
      <c r="K6" s="31"/>
    </row>
    <row r="7" spans="1:12">
      <c r="A7" s="8" t="s">
        <v>11</v>
      </c>
      <c r="B7" s="1" t="s">
        <v>10</v>
      </c>
      <c r="C7" s="30">
        <f>$G10*$G$2*$G4</f>
        <v>258527.49037499996</v>
      </c>
      <c r="K7" s="31"/>
    </row>
    <row r="8" spans="1:12">
      <c r="A8" s="8" t="s">
        <v>11</v>
      </c>
      <c r="B8" s="1" t="s">
        <v>13</v>
      </c>
      <c r="C8" s="30">
        <f>$G$10*$G$2*$G5</f>
        <v>186139.79306999996</v>
      </c>
      <c r="F8" s="33" t="s">
        <v>42</v>
      </c>
      <c r="G8" s="34" t="s">
        <v>43</v>
      </c>
      <c r="K8" s="31"/>
    </row>
    <row r="9" spans="1:12">
      <c r="A9" s="10" t="s">
        <v>11</v>
      </c>
      <c r="B9" s="24" t="s">
        <v>15</v>
      </c>
      <c r="C9" s="32">
        <f>$G$10*$G$2*$G6</f>
        <v>124093.19537999998</v>
      </c>
      <c r="F9" s="35" t="s">
        <v>44</v>
      </c>
      <c r="G9" s="36">
        <v>59479877.950000003</v>
      </c>
      <c r="I9" s="37"/>
      <c r="K9" s="31"/>
    </row>
    <row r="10" spans="1:12">
      <c r="A10" s="6" t="s">
        <v>14</v>
      </c>
      <c r="B10" s="20" t="s">
        <v>6</v>
      </c>
      <c r="C10" s="27">
        <f>$G$11*$G$2*$G3</f>
        <v>59666.039869499997</v>
      </c>
      <c r="F10" s="35" t="s">
        <v>45</v>
      </c>
      <c r="G10" s="36">
        <v>34470332.049999997</v>
      </c>
      <c r="I10" s="37"/>
      <c r="K10" s="31"/>
    </row>
    <row r="11" spans="1:12">
      <c r="A11" s="8" t="s">
        <v>14</v>
      </c>
      <c r="B11" s="1" t="s">
        <v>10</v>
      </c>
      <c r="C11" s="30">
        <f>$G$11*$G$2*$G4</f>
        <v>33147.799927499997</v>
      </c>
      <c r="F11" s="35" t="s">
        <v>46</v>
      </c>
      <c r="G11" s="36">
        <v>4419706.6569999997</v>
      </c>
      <c r="K11" s="31"/>
      <c r="L11" s="31"/>
    </row>
    <row r="12" spans="1:12" ht="13.5" customHeight="1">
      <c r="A12" s="8" t="s">
        <v>14</v>
      </c>
      <c r="B12" s="1" t="s">
        <v>13</v>
      </c>
      <c r="C12" s="30">
        <f>$G$11*$G$2*$G5</f>
        <v>23866.415947799997</v>
      </c>
      <c r="F12" s="35" t="s">
        <v>47</v>
      </c>
      <c r="G12" s="36">
        <v>1009270</v>
      </c>
    </row>
    <row r="13" spans="1:12">
      <c r="A13" s="10" t="s">
        <v>14</v>
      </c>
      <c r="B13" s="24" t="s">
        <v>15</v>
      </c>
      <c r="C13" s="32">
        <f>$G$11*$G$2*$G6</f>
        <v>15910.943965199998</v>
      </c>
      <c r="F13" s="35" t="s">
        <v>17</v>
      </c>
      <c r="G13" s="36">
        <v>7168200</v>
      </c>
    </row>
    <row r="14" spans="1:12">
      <c r="A14" s="6" t="s">
        <v>16</v>
      </c>
      <c r="B14" s="20" t="s">
        <v>6</v>
      </c>
      <c r="C14" s="27">
        <f>$G$12*$G$2*$G3</f>
        <v>13625.145</v>
      </c>
      <c r="F14" s="35" t="s">
        <v>18</v>
      </c>
      <c r="G14" s="36">
        <v>2125000</v>
      </c>
    </row>
    <row r="15" spans="1:12">
      <c r="A15" s="8" t="s">
        <v>16</v>
      </c>
      <c r="B15" s="1" t="s">
        <v>10</v>
      </c>
      <c r="C15" s="30">
        <f>$G$12*$G$2*$G4</f>
        <v>7569.5249999999996</v>
      </c>
      <c r="F15" s="38" t="s">
        <v>48</v>
      </c>
      <c r="G15" s="36">
        <v>16191735</v>
      </c>
    </row>
    <row r="16" spans="1:12">
      <c r="A16" s="8" t="s">
        <v>16</v>
      </c>
      <c r="B16" s="1" t="s">
        <v>13</v>
      </c>
      <c r="C16" s="30">
        <f>$G$12*$G$2*$G5</f>
        <v>5450.0579999999991</v>
      </c>
      <c r="F16" s="35" t="s">
        <v>49</v>
      </c>
      <c r="G16" s="36">
        <v>5209870</v>
      </c>
    </row>
    <row r="17" spans="1:6">
      <c r="A17" s="10" t="s">
        <v>16</v>
      </c>
      <c r="B17" s="24" t="s">
        <v>15</v>
      </c>
      <c r="C17" s="32">
        <f>$G$12*$G$2*$G6</f>
        <v>3633.3719999999998</v>
      </c>
    </row>
    <row r="18" spans="1:6">
      <c r="A18" s="6" t="s">
        <v>17</v>
      </c>
      <c r="B18" s="20" t="s">
        <v>6</v>
      </c>
      <c r="C18" s="27">
        <f>$G$13*$G$2*$G3</f>
        <v>96770.7</v>
      </c>
      <c r="F18" s="1" t="s">
        <v>8</v>
      </c>
    </row>
    <row r="19" spans="1:6">
      <c r="A19" s="8" t="s">
        <v>17</v>
      </c>
      <c r="B19" s="1" t="s">
        <v>10</v>
      </c>
      <c r="C19" s="30">
        <f>$G$13*$G$2*$G4</f>
        <v>53761.5</v>
      </c>
    </row>
    <row r="20" spans="1:6">
      <c r="A20" s="8" t="s">
        <v>17</v>
      </c>
      <c r="B20" s="1" t="s">
        <v>13</v>
      </c>
      <c r="C20" s="30">
        <f>$G$13*$G$2*$G5</f>
        <v>38708.28</v>
      </c>
    </row>
    <row r="21" spans="1:6">
      <c r="A21" s="10" t="s">
        <v>17</v>
      </c>
      <c r="B21" s="24" t="s">
        <v>15</v>
      </c>
      <c r="C21" s="32">
        <f>$G$13*$G$2*$G6</f>
        <v>25805.52</v>
      </c>
    </row>
    <row r="22" spans="1:6">
      <c r="A22" s="6" t="s">
        <v>18</v>
      </c>
      <c r="B22" s="20" t="s">
        <v>6</v>
      </c>
      <c r="C22" s="27">
        <f>$G$14*$G$2*$G3</f>
        <v>28687.5</v>
      </c>
    </row>
    <row r="23" spans="1:6">
      <c r="A23" s="8" t="s">
        <v>18</v>
      </c>
      <c r="B23" s="1" t="s">
        <v>10</v>
      </c>
      <c r="C23" s="30">
        <f>$G$14*$G$2*$G4</f>
        <v>15937.5</v>
      </c>
    </row>
    <row r="24" spans="1:6">
      <c r="A24" s="8" t="s">
        <v>18</v>
      </c>
      <c r="B24" s="1" t="s">
        <v>13</v>
      </c>
      <c r="C24" s="30">
        <f>$G$14*$G$2*$G5</f>
        <v>11475</v>
      </c>
    </row>
    <row r="25" spans="1:6">
      <c r="A25" s="10" t="s">
        <v>18</v>
      </c>
      <c r="B25" s="24" t="s">
        <v>15</v>
      </c>
      <c r="C25" s="30">
        <f>$G$14*$G$2*$G6</f>
        <v>7650</v>
      </c>
    </row>
    <row r="26" spans="1:6">
      <c r="A26" s="6" t="s">
        <v>19</v>
      </c>
      <c r="B26" s="20" t="s">
        <v>6</v>
      </c>
      <c r="C26" s="27">
        <f>$G$15*$G$2*$G3</f>
        <v>218588.42249999999</v>
      </c>
    </row>
    <row r="27" spans="1:6">
      <c r="A27" s="8" t="s">
        <v>19</v>
      </c>
      <c r="B27" s="1" t="s">
        <v>10</v>
      </c>
      <c r="C27" s="30">
        <f>$G$15*$G$2*$G4</f>
        <v>121438.0125</v>
      </c>
    </row>
    <row r="28" spans="1:6">
      <c r="A28" s="8" t="s">
        <v>19</v>
      </c>
      <c r="B28" s="1" t="s">
        <v>13</v>
      </c>
      <c r="C28" s="30">
        <f>$G$15*$G$2*$G5</f>
        <v>87435.368999999992</v>
      </c>
    </row>
    <row r="29" spans="1:6">
      <c r="A29" s="10" t="s">
        <v>19</v>
      </c>
      <c r="B29" s="24" t="s">
        <v>15</v>
      </c>
      <c r="C29" s="30">
        <f>$G$15*$G$2*$G6</f>
        <v>58290.245999999999</v>
      </c>
    </row>
    <row r="30" spans="1:6">
      <c r="A30" s="6" t="s">
        <v>20</v>
      </c>
      <c r="B30" s="20" t="s">
        <v>6</v>
      </c>
      <c r="C30" s="27">
        <f>$G$16*$G$2*$G3</f>
        <v>70333.24500000001</v>
      </c>
    </row>
    <row r="31" spans="1:6">
      <c r="A31" s="8" t="s">
        <v>20</v>
      </c>
      <c r="B31" s="1" t="s">
        <v>10</v>
      </c>
      <c r="C31" s="30">
        <f>$G$16*$G$2*$G4</f>
        <v>39074.025000000001</v>
      </c>
    </row>
    <row r="32" spans="1:6">
      <c r="A32" s="8" t="s">
        <v>20</v>
      </c>
      <c r="B32" s="1" t="s">
        <v>13</v>
      </c>
      <c r="C32" s="30">
        <f>$G$16*$G$2*$G5</f>
        <v>28133.297999999999</v>
      </c>
    </row>
    <row r="33" spans="1:3">
      <c r="A33" s="10" t="s">
        <v>20</v>
      </c>
      <c r="B33" s="24" t="s">
        <v>15</v>
      </c>
      <c r="C33" s="32">
        <f>$G$16*$G$2*$G6</f>
        <v>18755.531999999999</v>
      </c>
    </row>
  </sheetData>
  <mergeCells count="1">
    <mergeCell ref="F1:G1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zoomScale="160" zoomScaleNormal="160" workbookViewId="0">
      <selection activeCell="G2" sqref="C1:G2"/>
    </sheetView>
  </sheetViews>
  <sheetFormatPr defaultColWidth="10.5703125" defaultRowHeight="15"/>
  <cols>
    <col min="1" max="1" width="17.85546875" style="1" customWidth="1"/>
    <col min="4" max="4" width="16.7109375" customWidth="1"/>
    <col min="5" max="5" width="15" customWidth="1"/>
    <col min="6" max="7" width="13.5703125" customWidth="1"/>
  </cols>
  <sheetData>
    <row r="1" spans="1:7">
      <c r="A1" s="14" t="s">
        <v>50</v>
      </c>
      <c r="C1" s="41" t="s">
        <v>51</v>
      </c>
      <c r="D1" s="41" t="s">
        <v>52</v>
      </c>
      <c r="E1" s="41" t="s">
        <v>53</v>
      </c>
      <c r="F1" s="42" t="s">
        <v>54</v>
      </c>
      <c r="G1" s="41" t="s">
        <v>55</v>
      </c>
    </row>
    <row r="2" spans="1:7">
      <c r="A2" s="39">
        <f>G2</f>
        <v>33008800</v>
      </c>
      <c r="C2" s="39">
        <v>880000</v>
      </c>
      <c r="D2" s="39">
        <v>1.21</v>
      </c>
      <c r="E2" s="39">
        <v>31</v>
      </c>
      <c r="F2" s="43">
        <v>1</v>
      </c>
      <c r="G2" s="39">
        <f>C2*(D2)*E2*F2</f>
        <v>33008800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SETS</vt:lpstr>
      <vt:lpstr>CAPACIDADES</vt:lpstr>
      <vt:lpstr>PRODUCTOS</vt:lpstr>
      <vt:lpstr>DESCREMA</vt:lpstr>
      <vt:lpstr>COSTOS</vt:lpstr>
      <vt:lpstr>DEMANDA</vt:lpstr>
      <vt:lpstr>PARAMETROS</vt:lpstr>
      <vt:lpstr>CAPACIDAD_CREMA</vt:lpstr>
      <vt:lpstr>CAPACIDAD_LECHE_EN_POLVO</vt:lpstr>
      <vt:lpstr>CAPACIDAD_LECHE_FLUIDA</vt:lpstr>
      <vt:lpstr>CAPACIDAD_MANTECA</vt:lpstr>
      <vt:lpstr>CAPACIDAD_QUESO</vt:lpstr>
      <vt:lpstr>CENTROS</vt:lpstr>
      <vt:lpstr>COSTO</vt:lpstr>
      <vt:lpstr>COSTO_LD_SF</vt:lpstr>
      <vt:lpstr>DEM</vt:lpstr>
      <vt:lpstr>DESCREMA</vt:lpstr>
      <vt:lpstr>FACTOR_CONVERSION</vt:lpstr>
      <vt:lpstr>LECHE_DISPONIBLE</vt:lpstr>
      <vt:lpstr>PLANTA</vt:lpstr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ESTUDIO</dc:creator>
  <dc:description/>
  <cp:lastModifiedBy>Mateo Pozzo Galdon</cp:lastModifiedBy>
  <cp:revision>4</cp:revision>
  <dcterms:created xsi:type="dcterms:W3CDTF">2015-06-05T18:19:34Z</dcterms:created>
  <dcterms:modified xsi:type="dcterms:W3CDTF">2026-06-29T12:57:34Z</dcterms:modified>
  <dc:language>en-GB</dc:language>
</cp:coreProperties>
</file>